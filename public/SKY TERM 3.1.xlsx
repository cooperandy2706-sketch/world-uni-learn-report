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kuat\Desktop\old pc\2526\FEES COLLECTION\"/>
    </mc:Choice>
  </mc:AlternateContent>
  <xr:revisionPtr revIDLastSave="0" documentId="13_ncr:1_{CB1C9EA9-4B4A-486F-B91F-C08ADB6AF51F}" xr6:coauthVersionLast="47" xr6:coauthVersionMax="47" xr10:uidLastSave="{00000000-0000-0000-0000-000000000000}"/>
  <bookViews>
    <workbookView xWindow="-98" yWindow="-98" windowWidth="19396" windowHeight="10276" activeTab="1" xr2:uid="{00000000-000D-0000-FFFF-FFFF00000000}"/>
  </bookViews>
  <sheets>
    <sheet name="Navigation and Summary" sheetId="2" r:id="rId1"/>
    <sheet name="Fee Receipt (Class-wise)" sheetId="1" r:id="rId2"/>
    <sheet name="Fee Pending (Class-wise)" sheetId="3" r:id="rId3"/>
    <sheet name="Printing Slot" sheetId="4" r:id="rId4"/>
  </sheets>
  <definedNames>
    <definedName name="_xlnm.Print_Area" localSheetId="2">'Fee Pending (Class-wise)'!$A$1:$I$1110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1" i="3" l="1"/>
  <c r="J165" i="1" l="1"/>
  <c r="J166" i="1"/>
  <c r="J167" i="1"/>
  <c r="J100" i="1"/>
  <c r="J1425" i="1"/>
  <c r="J1153" i="1" l="1"/>
  <c r="J1154" i="1"/>
  <c r="J1155" i="1"/>
  <c r="G378" i="3" l="1"/>
  <c r="G379" i="3"/>
  <c r="G673" i="3" l="1"/>
  <c r="G674" i="3"/>
  <c r="G675" i="3"/>
  <c r="G676" i="3"/>
  <c r="G677" i="3"/>
  <c r="G678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508" i="3"/>
  <c r="C509" i="3"/>
  <c r="C510" i="3"/>
  <c r="C511" i="3"/>
  <c r="C512" i="3"/>
  <c r="C513" i="3"/>
  <c r="C514" i="3"/>
  <c r="C515" i="3"/>
  <c r="C516" i="3"/>
  <c r="G173" i="3"/>
  <c r="G174" i="3"/>
  <c r="G175" i="3"/>
  <c r="G176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J1178" i="1" l="1"/>
  <c r="J1179" i="1"/>
  <c r="J1180" i="1"/>
  <c r="J1181" i="1"/>
  <c r="J1182" i="1"/>
  <c r="J1183" i="1"/>
  <c r="C1477" i="1" l="1"/>
  <c r="F19" i="2" l="1"/>
  <c r="J706" i="1" l="1"/>
  <c r="J707" i="1"/>
  <c r="E31" i="2" l="1"/>
  <c r="D31" i="2"/>
  <c r="F31" i="2"/>
  <c r="J322" i="1" l="1"/>
  <c r="J323" i="1"/>
  <c r="J324" i="1"/>
  <c r="J8" i="4" l="1"/>
  <c r="C6" i="3"/>
  <c r="F10" i="2" l="1"/>
  <c r="F9" i="2"/>
  <c r="J198" i="1"/>
  <c r="J72" i="1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C1812" i="1"/>
  <c r="H1812" i="1" s="1"/>
  <c r="C1745" i="1"/>
  <c r="H1745" i="1" s="1"/>
  <c r="C1678" i="1"/>
  <c r="H1678" i="1" s="1"/>
  <c r="C1611" i="1"/>
  <c r="H1611" i="1" s="1"/>
  <c r="C1544" i="1"/>
  <c r="H1544" i="1" s="1"/>
  <c r="H1477" i="1"/>
  <c r="C1409" i="1"/>
  <c r="H1409" i="1" s="1"/>
  <c r="C1342" i="1"/>
  <c r="H1342" i="1" s="1"/>
  <c r="C1275" i="1"/>
  <c r="H1275" i="1" s="1"/>
  <c r="C1208" i="1"/>
  <c r="H1208" i="1" s="1"/>
  <c r="C1141" i="1"/>
  <c r="H1141" i="1" s="1"/>
  <c r="C1074" i="1"/>
  <c r="C595" i="3" s="1"/>
  <c r="C1007" i="1"/>
  <c r="H1007" i="1" s="1"/>
  <c r="C940" i="1"/>
  <c r="H940" i="1" s="1"/>
  <c r="C873" i="1"/>
  <c r="H873" i="1" s="1"/>
  <c r="C806" i="1"/>
  <c r="H806" i="1" s="1"/>
  <c r="C739" i="1"/>
  <c r="H739" i="1" s="1"/>
  <c r="C672" i="1"/>
  <c r="H672" i="1" s="1"/>
  <c r="C605" i="1"/>
  <c r="H605" i="1" s="1"/>
  <c r="C538" i="1"/>
  <c r="H538" i="1" s="1"/>
  <c r="C471" i="1"/>
  <c r="H471" i="1" s="1"/>
  <c r="C404" i="1"/>
  <c r="H404" i="1" s="1"/>
  <c r="C337" i="1"/>
  <c r="H337" i="1" s="1"/>
  <c r="C270" i="1"/>
  <c r="H270" i="1" s="1"/>
  <c r="C203" i="1"/>
  <c r="H203" i="1" s="1"/>
  <c r="C136" i="1"/>
  <c r="H136" i="1" s="1"/>
  <c r="C69" i="1"/>
  <c r="H69" i="1" s="1"/>
  <c r="F2" i="1"/>
  <c r="C2" i="1"/>
  <c r="C3" i="3" s="1"/>
  <c r="F1946" i="1"/>
  <c r="C1946" i="1"/>
  <c r="H1946" i="1" s="1"/>
  <c r="F1879" i="1"/>
  <c r="C1879" i="1"/>
  <c r="H1879" i="1" s="1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C1079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C1005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C931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C857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C783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C709" i="3"/>
  <c r="G635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C635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C561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C487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C413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C339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C191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C117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C43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2" i="3"/>
  <c r="C672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7" i="3"/>
  <c r="G37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G183" i="3"/>
  <c r="G182" i="3"/>
  <c r="G181" i="3"/>
  <c r="G180" i="3"/>
  <c r="G179" i="3"/>
  <c r="G178" i="3"/>
  <c r="G177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G109" i="3"/>
  <c r="G108" i="3"/>
  <c r="G107" i="3"/>
  <c r="G106" i="3"/>
  <c r="G105" i="3"/>
  <c r="G104" i="3"/>
  <c r="G103" i="3"/>
  <c r="G102" i="3"/>
  <c r="G101" i="3"/>
  <c r="G100" i="3"/>
  <c r="G99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2" i="1"/>
  <c r="J1151" i="1"/>
  <c r="J1150" i="1"/>
  <c r="J1149" i="1"/>
  <c r="J1148" i="1"/>
  <c r="J1147" i="1"/>
  <c r="J1146" i="1"/>
  <c r="J1145" i="1"/>
  <c r="J1144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2" i="1"/>
  <c r="J331" i="1"/>
  <c r="J330" i="1"/>
  <c r="J329" i="1"/>
  <c r="J328" i="1"/>
  <c r="J327" i="1"/>
  <c r="J326" i="1"/>
  <c r="J325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F69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6" i="1"/>
  <c r="J7" i="1"/>
  <c r="J8" i="1"/>
  <c r="J9" i="1"/>
  <c r="J10" i="1"/>
  <c r="J11" i="1"/>
  <c r="J12" i="1"/>
  <c r="J13" i="1"/>
  <c r="J14" i="1"/>
  <c r="J15" i="1"/>
  <c r="K15" i="1" s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5" i="1"/>
  <c r="C817" i="3" l="1"/>
  <c r="C225" i="3"/>
  <c r="C40" i="3"/>
  <c r="C521" i="3"/>
  <c r="H1074" i="1"/>
  <c r="C151" i="3"/>
  <c r="C891" i="3"/>
  <c r="C447" i="3"/>
  <c r="C299" i="3"/>
  <c r="C743" i="3"/>
  <c r="C77" i="3"/>
  <c r="C373" i="3"/>
  <c r="C669" i="3"/>
  <c r="C965" i="3"/>
  <c r="C1039" i="3"/>
  <c r="C1076" i="3"/>
  <c r="H2" i="1"/>
  <c r="C1002" i="3"/>
  <c r="C928" i="3"/>
  <c r="C854" i="3"/>
  <c r="C780" i="3"/>
  <c r="C706" i="3"/>
  <c r="C632" i="3"/>
  <c r="C558" i="3"/>
  <c r="C484" i="3"/>
  <c r="C410" i="3"/>
  <c r="C336" i="3"/>
  <c r="C262" i="3"/>
  <c r="C188" i="3"/>
  <c r="C114" i="3"/>
  <c r="K63" i="1"/>
  <c r="H34" i="3" s="1"/>
  <c r="K55" i="1"/>
  <c r="H26" i="3" s="1"/>
  <c r="K47" i="1"/>
  <c r="H18" i="3" s="1"/>
  <c r="K59" i="1"/>
  <c r="H30" i="3" s="1"/>
  <c r="K51" i="1"/>
  <c r="H22" i="3" s="1"/>
  <c r="K74" i="1"/>
  <c r="D45" i="3" s="1"/>
  <c r="K5" i="1"/>
  <c r="K61" i="1"/>
  <c r="H32" i="3" s="1"/>
  <c r="K57" i="1"/>
  <c r="H28" i="3" s="1"/>
  <c r="K53" i="1"/>
  <c r="H24" i="3" s="1"/>
  <c r="K49" i="1"/>
  <c r="H20" i="3" s="1"/>
  <c r="K45" i="1"/>
  <c r="H16" i="3" s="1"/>
  <c r="K43" i="1"/>
  <c r="H14" i="3" s="1"/>
  <c r="K41" i="1"/>
  <c r="H12" i="3" s="1"/>
  <c r="K39" i="1"/>
  <c r="H10" i="3" s="1"/>
  <c r="K37" i="1"/>
  <c r="H8" i="3" s="1"/>
  <c r="K35" i="1"/>
  <c r="H6" i="3" s="1"/>
  <c r="K33" i="1"/>
  <c r="D34" i="3" s="1"/>
  <c r="K31" i="1"/>
  <c r="D32" i="3" s="1"/>
  <c r="K29" i="1"/>
  <c r="D30" i="3" s="1"/>
  <c r="K27" i="1"/>
  <c r="D28" i="3" s="1"/>
  <c r="K25" i="1"/>
  <c r="D26" i="3" s="1"/>
  <c r="K23" i="1"/>
  <c r="D24" i="3" s="1"/>
  <c r="K21" i="1"/>
  <c r="D22" i="3" s="1"/>
  <c r="K19" i="1"/>
  <c r="D20" i="3" s="1"/>
  <c r="K17" i="1"/>
  <c r="D18" i="3" s="1"/>
  <c r="D16" i="3"/>
  <c r="K13" i="1"/>
  <c r="D14" i="3" s="1"/>
  <c r="K11" i="1"/>
  <c r="D12" i="3" s="1"/>
  <c r="K9" i="1"/>
  <c r="D10" i="3" s="1"/>
  <c r="K7" i="1"/>
  <c r="D8" i="3" s="1"/>
  <c r="K129" i="1"/>
  <c r="H70" i="3" s="1"/>
  <c r="K125" i="1"/>
  <c r="H66" i="3" s="1"/>
  <c r="K121" i="1"/>
  <c r="H62" i="3" s="1"/>
  <c r="K117" i="1"/>
  <c r="H58" i="3" s="1"/>
  <c r="K113" i="1"/>
  <c r="H54" i="3" s="1"/>
  <c r="K109" i="1"/>
  <c r="H50" i="3" s="1"/>
  <c r="K105" i="1"/>
  <c r="H46" i="3" s="1"/>
  <c r="K101" i="1"/>
  <c r="D72" i="3" s="1"/>
  <c r="K97" i="1"/>
  <c r="D68" i="3" s="1"/>
  <c r="K93" i="1"/>
  <c r="D64" i="3" s="1"/>
  <c r="K89" i="1"/>
  <c r="D60" i="3" s="1"/>
  <c r="K85" i="1"/>
  <c r="D56" i="3" s="1"/>
  <c r="K81" i="1"/>
  <c r="D52" i="3" s="1"/>
  <c r="K77" i="1"/>
  <c r="D48" i="3" s="1"/>
  <c r="K73" i="1"/>
  <c r="D44" i="3" s="1"/>
  <c r="K131" i="1"/>
  <c r="H72" i="3" s="1"/>
  <c r="K127" i="1"/>
  <c r="H68" i="3" s="1"/>
  <c r="K123" i="1"/>
  <c r="H64" i="3" s="1"/>
  <c r="K119" i="1"/>
  <c r="H60" i="3" s="1"/>
  <c r="K115" i="1"/>
  <c r="H56" i="3" s="1"/>
  <c r="K111" i="1"/>
  <c r="H52" i="3" s="1"/>
  <c r="K107" i="1"/>
  <c r="H48" i="3" s="1"/>
  <c r="K103" i="1"/>
  <c r="H44" i="3" s="1"/>
  <c r="K99" i="1"/>
  <c r="D70" i="3" s="1"/>
  <c r="K95" i="1"/>
  <c r="D66" i="3" s="1"/>
  <c r="K91" i="1"/>
  <c r="D62" i="3" s="1"/>
  <c r="K87" i="1"/>
  <c r="D58" i="3" s="1"/>
  <c r="K83" i="1"/>
  <c r="D54" i="3" s="1"/>
  <c r="K79" i="1"/>
  <c r="D50" i="3" s="1"/>
  <c r="K75" i="1"/>
  <c r="D46" i="3" s="1"/>
  <c r="K72" i="1"/>
  <c r="K130" i="1"/>
  <c r="H71" i="3" s="1"/>
  <c r="K128" i="1"/>
  <c r="H69" i="3" s="1"/>
  <c r="K126" i="1"/>
  <c r="H67" i="3" s="1"/>
  <c r="K124" i="1"/>
  <c r="H65" i="3" s="1"/>
  <c r="K122" i="1"/>
  <c r="H63" i="3" s="1"/>
  <c r="K120" i="1"/>
  <c r="H61" i="3" s="1"/>
  <c r="K118" i="1"/>
  <c r="H59" i="3" s="1"/>
  <c r="K116" i="1"/>
  <c r="H57" i="3" s="1"/>
  <c r="K114" i="1"/>
  <c r="H55" i="3" s="1"/>
  <c r="K112" i="1"/>
  <c r="H53" i="3" s="1"/>
  <c r="K110" i="1"/>
  <c r="H51" i="3" s="1"/>
  <c r="K108" i="1"/>
  <c r="H49" i="3" s="1"/>
  <c r="K106" i="1"/>
  <c r="H47" i="3" s="1"/>
  <c r="K104" i="1"/>
  <c r="H45" i="3" s="1"/>
  <c r="K102" i="1"/>
  <c r="H43" i="3" s="1"/>
  <c r="K100" i="1"/>
  <c r="D71" i="3" s="1"/>
  <c r="K98" i="1"/>
  <c r="D69" i="3" s="1"/>
  <c r="K96" i="1"/>
  <c r="D67" i="3" s="1"/>
  <c r="K94" i="1"/>
  <c r="D65" i="3" s="1"/>
  <c r="K92" i="1"/>
  <c r="D63" i="3" s="1"/>
  <c r="K90" i="1"/>
  <c r="D61" i="3" s="1"/>
  <c r="K88" i="1"/>
  <c r="D59" i="3" s="1"/>
  <c r="K86" i="1"/>
  <c r="D57" i="3" s="1"/>
  <c r="K84" i="1"/>
  <c r="D55" i="3" s="1"/>
  <c r="K82" i="1"/>
  <c r="D53" i="3" s="1"/>
  <c r="K80" i="1"/>
  <c r="D51" i="3" s="1"/>
  <c r="K78" i="1"/>
  <c r="D49" i="3" s="1"/>
  <c r="K76" i="1"/>
  <c r="D47" i="3" s="1"/>
  <c r="K64" i="1"/>
  <c r="H35" i="3" s="1"/>
  <c r="K62" i="1"/>
  <c r="H33" i="3" s="1"/>
  <c r="K60" i="1"/>
  <c r="H31" i="3" s="1"/>
  <c r="K58" i="1"/>
  <c r="H29" i="3" s="1"/>
  <c r="K56" i="1"/>
  <c r="H27" i="3" s="1"/>
  <c r="K54" i="1"/>
  <c r="H25" i="3" s="1"/>
  <c r="K52" i="1"/>
  <c r="H23" i="3" s="1"/>
  <c r="K50" i="1"/>
  <c r="H21" i="3" s="1"/>
  <c r="K48" i="1"/>
  <c r="H19" i="3" s="1"/>
  <c r="K46" i="1"/>
  <c r="H17" i="3" s="1"/>
  <c r="K44" i="1"/>
  <c r="H15" i="3" s="1"/>
  <c r="K42" i="1"/>
  <c r="H13" i="3" s="1"/>
  <c r="K40" i="1"/>
  <c r="H11" i="3" s="1"/>
  <c r="K38" i="1"/>
  <c r="H9" i="3" s="1"/>
  <c r="K36" i="1"/>
  <c r="H7" i="3" s="1"/>
  <c r="K34" i="1"/>
  <c r="D35" i="3" s="1"/>
  <c r="K32" i="1"/>
  <c r="D33" i="3" s="1"/>
  <c r="K30" i="1"/>
  <c r="D31" i="3" s="1"/>
  <c r="K28" i="1"/>
  <c r="D29" i="3" s="1"/>
  <c r="K26" i="1"/>
  <c r="D27" i="3" s="1"/>
  <c r="K24" i="1"/>
  <c r="D25" i="3" s="1"/>
  <c r="K22" i="1"/>
  <c r="D23" i="3" s="1"/>
  <c r="K20" i="1"/>
  <c r="D21" i="3" s="1"/>
  <c r="K18" i="1"/>
  <c r="D19" i="3" s="1"/>
  <c r="K16" i="1"/>
  <c r="D17" i="3" s="1"/>
  <c r="K14" i="1"/>
  <c r="D15" i="3" s="1"/>
  <c r="K12" i="1"/>
  <c r="D13" i="3" s="1"/>
  <c r="K10" i="1"/>
  <c r="D11" i="3" s="1"/>
  <c r="K8" i="1"/>
  <c r="D9" i="3" s="1"/>
  <c r="K6" i="1"/>
  <c r="D7" i="3" s="1"/>
  <c r="D43" i="3" l="1"/>
  <c r="K132" i="1"/>
  <c r="D6" i="3"/>
  <c r="H36" i="3" s="1"/>
  <c r="H3" i="3" s="1"/>
  <c r="K65" i="1"/>
  <c r="H9" i="2" s="1"/>
  <c r="G9" i="2" s="1"/>
  <c r="I9" i="2" s="1"/>
  <c r="F136" i="1"/>
  <c r="K198" i="1" s="1"/>
  <c r="F11" i="2"/>
  <c r="C226" i="3"/>
  <c r="C152" i="3"/>
  <c r="C4" i="3"/>
  <c r="C115" i="3"/>
  <c r="C707" i="3"/>
  <c r="C744" i="3"/>
  <c r="C411" i="3"/>
  <c r="C929" i="3"/>
  <c r="C596" i="3"/>
  <c r="C1077" i="3"/>
  <c r="C448" i="3"/>
  <c r="C633" i="3"/>
  <c r="C337" i="3"/>
  <c r="C1040" i="3"/>
  <c r="C41" i="3"/>
  <c r="C300" i="3"/>
  <c r="C892" i="3"/>
  <c r="C1003" i="3"/>
  <c r="C966" i="3"/>
  <c r="C670" i="3"/>
  <c r="C374" i="3"/>
  <c r="C78" i="3"/>
  <c r="C818" i="3"/>
  <c r="C522" i="3"/>
  <c r="C855" i="3"/>
  <c r="C781" i="3"/>
  <c r="C559" i="3"/>
  <c r="C485" i="3"/>
  <c r="C263" i="3"/>
  <c r="C189" i="3"/>
  <c r="H73" i="3" l="1"/>
  <c r="H40" i="3" s="1"/>
  <c r="F203" i="1"/>
  <c r="F12" i="2"/>
  <c r="H10" i="2"/>
  <c r="K141" i="1"/>
  <c r="D82" i="3" s="1"/>
  <c r="H109" i="3"/>
  <c r="K194" i="1"/>
  <c r="H105" i="3" s="1"/>
  <c r="K190" i="1"/>
  <c r="H101" i="3" s="1"/>
  <c r="K186" i="1"/>
  <c r="H97" i="3" s="1"/>
  <c r="K182" i="1"/>
  <c r="H93" i="3" s="1"/>
  <c r="K178" i="1"/>
  <c r="H89" i="3" s="1"/>
  <c r="K174" i="1"/>
  <c r="H85" i="3" s="1"/>
  <c r="K170" i="1"/>
  <c r="H81" i="3" s="1"/>
  <c r="K166" i="1"/>
  <c r="D107" i="3" s="1"/>
  <c r="K162" i="1"/>
  <c r="D103" i="3" s="1"/>
  <c r="K158" i="1"/>
  <c r="D99" i="3" s="1"/>
  <c r="K154" i="1"/>
  <c r="D95" i="3" s="1"/>
  <c r="K150" i="1"/>
  <c r="D91" i="3" s="1"/>
  <c r="K146" i="1"/>
  <c r="D87" i="3" s="1"/>
  <c r="K142" i="1"/>
  <c r="D83" i="3" s="1"/>
  <c r="K197" i="1"/>
  <c r="H108" i="3" s="1"/>
  <c r="K193" i="1"/>
  <c r="H104" i="3" s="1"/>
  <c r="K189" i="1"/>
  <c r="H100" i="3" s="1"/>
  <c r="K185" i="1"/>
  <c r="H96" i="3" s="1"/>
  <c r="K181" i="1"/>
  <c r="H92" i="3" s="1"/>
  <c r="K177" i="1"/>
  <c r="H88" i="3" s="1"/>
  <c r="K173" i="1"/>
  <c r="H84" i="3" s="1"/>
  <c r="K169" i="1"/>
  <c r="H80" i="3" s="1"/>
  <c r="K165" i="1"/>
  <c r="D106" i="3" s="1"/>
  <c r="K161" i="1"/>
  <c r="D102" i="3" s="1"/>
  <c r="K157" i="1"/>
  <c r="D98" i="3" s="1"/>
  <c r="K153" i="1"/>
  <c r="D94" i="3" s="1"/>
  <c r="K149" i="1"/>
  <c r="D90" i="3" s="1"/>
  <c r="K145" i="1"/>
  <c r="D86" i="3" s="1"/>
  <c r="K196" i="1"/>
  <c r="H107" i="3" s="1"/>
  <c r="K192" i="1"/>
  <c r="H103" i="3" s="1"/>
  <c r="K188" i="1"/>
  <c r="H99" i="3" s="1"/>
  <c r="K184" i="1"/>
  <c r="H95" i="3" s="1"/>
  <c r="K180" i="1"/>
  <c r="H91" i="3" s="1"/>
  <c r="K176" i="1"/>
  <c r="H87" i="3" s="1"/>
  <c r="K172" i="1"/>
  <c r="H83" i="3" s="1"/>
  <c r="K168" i="1"/>
  <c r="D109" i="3" s="1"/>
  <c r="K164" i="1"/>
  <c r="D105" i="3" s="1"/>
  <c r="K160" i="1"/>
  <c r="D101" i="3" s="1"/>
  <c r="K156" i="1"/>
  <c r="D97" i="3" s="1"/>
  <c r="K152" i="1"/>
  <c r="D93" i="3" s="1"/>
  <c r="K148" i="1"/>
  <c r="D89" i="3" s="1"/>
  <c r="K144" i="1"/>
  <c r="D85" i="3" s="1"/>
  <c r="K140" i="1"/>
  <c r="D81" i="3" s="1"/>
  <c r="K139" i="1"/>
  <c r="K195" i="1"/>
  <c r="H106" i="3" s="1"/>
  <c r="K191" i="1"/>
  <c r="H102" i="3" s="1"/>
  <c r="K187" i="1"/>
  <c r="H98" i="3" s="1"/>
  <c r="K183" i="1"/>
  <c r="H94" i="3" s="1"/>
  <c r="K179" i="1"/>
  <c r="H90" i="3" s="1"/>
  <c r="K175" i="1"/>
  <c r="H86" i="3" s="1"/>
  <c r="K171" i="1"/>
  <c r="H82" i="3" s="1"/>
  <c r="K167" i="1"/>
  <c r="D108" i="3" s="1"/>
  <c r="K163" i="1"/>
  <c r="D104" i="3" s="1"/>
  <c r="K159" i="1"/>
  <c r="D100" i="3" s="1"/>
  <c r="K155" i="1"/>
  <c r="D96" i="3" s="1"/>
  <c r="K151" i="1"/>
  <c r="D92" i="3" s="1"/>
  <c r="K147" i="1"/>
  <c r="D88" i="3" s="1"/>
  <c r="K143" i="1"/>
  <c r="D84" i="3" s="1"/>
  <c r="G10" i="2" l="1"/>
  <c r="I10" i="2" s="1"/>
  <c r="D80" i="3"/>
  <c r="H110" i="3" s="1"/>
  <c r="H77" i="3" s="1"/>
  <c r="K199" i="1"/>
  <c r="F270" i="1"/>
  <c r="F13" i="2"/>
  <c r="K208" i="1"/>
  <c r="D119" i="3" s="1"/>
  <c r="K265" i="1"/>
  <c r="H146" i="3" s="1"/>
  <c r="K261" i="1"/>
  <c r="H142" i="3" s="1"/>
  <c r="K257" i="1"/>
  <c r="H138" i="3" s="1"/>
  <c r="K253" i="1"/>
  <c r="H134" i="3" s="1"/>
  <c r="K249" i="1"/>
  <c r="H130" i="3" s="1"/>
  <c r="K245" i="1"/>
  <c r="H126" i="3" s="1"/>
  <c r="K241" i="1"/>
  <c r="H122" i="3" s="1"/>
  <c r="K237" i="1"/>
  <c r="H118" i="3" s="1"/>
  <c r="K233" i="1"/>
  <c r="D144" i="3" s="1"/>
  <c r="K229" i="1"/>
  <c r="D140" i="3" s="1"/>
  <c r="K225" i="1"/>
  <c r="D136" i="3" s="1"/>
  <c r="K221" i="1"/>
  <c r="D132" i="3" s="1"/>
  <c r="K217" i="1"/>
  <c r="D128" i="3" s="1"/>
  <c r="K213" i="1"/>
  <c r="D124" i="3" s="1"/>
  <c r="K209" i="1"/>
  <c r="D120" i="3" s="1"/>
  <c r="K206" i="1"/>
  <c r="D117" i="3" s="1"/>
  <c r="K262" i="1"/>
  <c r="H143" i="3" s="1"/>
  <c r="K258" i="1"/>
  <c r="H139" i="3" s="1"/>
  <c r="K254" i="1"/>
  <c r="H135" i="3" s="1"/>
  <c r="K250" i="1"/>
  <c r="H131" i="3" s="1"/>
  <c r="K246" i="1"/>
  <c r="H127" i="3" s="1"/>
  <c r="K242" i="1"/>
  <c r="H123" i="3" s="1"/>
  <c r="K238" i="1"/>
  <c r="H119" i="3" s="1"/>
  <c r="K234" i="1"/>
  <c r="D145" i="3" s="1"/>
  <c r="K230" i="1"/>
  <c r="D141" i="3" s="1"/>
  <c r="K226" i="1"/>
  <c r="D137" i="3" s="1"/>
  <c r="K222" i="1"/>
  <c r="D133" i="3" s="1"/>
  <c r="K218" i="1"/>
  <c r="D129" i="3" s="1"/>
  <c r="K214" i="1"/>
  <c r="D125" i="3" s="1"/>
  <c r="K210" i="1"/>
  <c r="D121" i="3" s="1"/>
  <c r="K263" i="1"/>
  <c r="H144" i="3" s="1"/>
  <c r="K259" i="1"/>
  <c r="H140" i="3" s="1"/>
  <c r="K255" i="1"/>
  <c r="H136" i="3" s="1"/>
  <c r="K251" i="1"/>
  <c r="H132" i="3" s="1"/>
  <c r="K247" i="1"/>
  <c r="H128" i="3" s="1"/>
  <c r="K243" i="1"/>
  <c r="H124" i="3" s="1"/>
  <c r="K239" i="1"/>
  <c r="H120" i="3" s="1"/>
  <c r="K235" i="1"/>
  <c r="D146" i="3" s="1"/>
  <c r="K231" i="1"/>
  <c r="D142" i="3" s="1"/>
  <c r="K227" i="1"/>
  <c r="D138" i="3" s="1"/>
  <c r="K223" i="1"/>
  <c r="D134" i="3" s="1"/>
  <c r="K219" i="1"/>
  <c r="D130" i="3" s="1"/>
  <c r="K215" i="1"/>
  <c r="D126" i="3" s="1"/>
  <c r="K211" i="1"/>
  <c r="D122" i="3" s="1"/>
  <c r="K207" i="1"/>
  <c r="D118" i="3" s="1"/>
  <c r="K264" i="1"/>
  <c r="H145" i="3" s="1"/>
  <c r="K260" i="1"/>
  <c r="H141" i="3" s="1"/>
  <c r="K256" i="1"/>
  <c r="H137" i="3" s="1"/>
  <c r="K252" i="1"/>
  <c r="H133" i="3" s="1"/>
  <c r="K248" i="1"/>
  <c r="H129" i="3" s="1"/>
  <c r="K244" i="1"/>
  <c r="H125" i="3" s="1"/>
  <c r="K240" i="1"/>
  <c r="H121" i="3" s="1"/>
  <c r="K236" i="1"/>
  <c r="H117" i="3" s="1"/>
  <c r="K232" i="1"/>
  <c r="D143" i="3" s="1"/>
  <c r="K228" i="1"/>
  <c r="D139" i="3" s="1"/>
  <c r="K224" i="1"/>
  <c r="D135" i="3" s="1"/>
  <c r="K220" i="1"/>
  <c r="D131" i="3" s="1"/>
  <c r="K216" i="1"/>
  <c r="D127" i="3" s="1"/>
  <c r="K212" i="1"/>
  <c r="D123" i="3" s="1"/>
  <c r="K323" i="1" l="1"/>
  <c r="H174" i="3" s="1"/>
  <c r="K322" i="1"/>
  <c r="H173" i="3" s="1"/>
  <c r="K324" i="1"/>
  <c r="H175" i="3" s="1"/>
  <c r="F337" i="1"/>
  <c r="K341" i="1" s="1"/>
  <c r="F14" i="2"/>
  <c r="H11" i="2"/>
  <c r="G11" i="2" s="1"/>
  <c r="H147" i="3"/>
  <c r="H114" i="3" s="1"/>
  <c r="K266" i="1"/>
  <c r="K275" i="1"/>
  <c r="D156" i="3" s="1"/>
  <c r="K279" i="1"/>
  <c r="D160" i="3" s="1"/>
  <c r="K283" i="1"/>
  <c r="D164" i="3" s="1"/>
  <c r="K287" i="1"/>
  <c r="D168" i="3" s="1"/>
  <c r="K291" i="1"/>
  <c r="D172" i="3" s="1"/>
  <c r="K295" i="1"/>
  <c r="D176" i="3" s="1"/>
  <c r="K299" i="1"/>
  <c r="D180" i="3" s="1"/>
  <c r="K303" i="1"/>
  <c r="H154" i="3" s="1"/>
  <c r="K307" i="1"/>
  <c r="H158" i="3" s="1"/>
  <c r="K311" i="1"/>
  <c r="H162" i="3" s="1"/>
  <c r="K276" i="1"/>
  <c r="D157" i="3" s="1"/>
  <c r="K280" i="1"/>
  <c r="D161" i="3" s="1"/>
  <c r="K284" i="1"/>
  <c r="D165" i="3" s="1"/>
  <c r="K288" i="1"/>
  <c r="D169" i="3" s="1"/>
  <c r="K292" i="1"/>
  <c r="D173" i="3" s="1"/>
  <c r="K296" i="1"/>
  <c r="D177" i="3" s="1"/>
  <c r="K300" i="1"/>
  <c r="D181" i="3" s="1"/>
  <c r="K304" i="1"/>
  <c r="H155" i="3" s="1"/>
  <c r="K308" i="1"/>
  <c r="H159" i="3" s="1"/>
  <c r="K332" i="1"/>
  <c r="H183" i="3" s="1"/>
  <c r="K328" i="1"/>
  <c r="H179" i="3" s="1"/>
  <c r="K320" i="1"/>
  <c r="H171" i="3" s="1"/>
  <c r="K316" i="1"/>
  <c r="H167" i="3" s="1"/>
  <c r="K312" i="1"/>
  <c r="H163" i="3" s="1"/>
  <c r="K331" i="1"/>
  <c r="H182" i="3" s="1"/>
  <c r="K327" i="1"/>
  <c r="H178" i="3" s="1"/>
  <c r="K319" i="1"/>
  <c r="H170" i="3" s="1"/>
  <c r="K315" i="1"/>
  <c r="H166" i="3" s="1"/>
  <c r="K277" i="1"/>
  <c r="D158" i="3" s="1"/>
  <c r="K281" i="1"/>
  <c r="D162" i="3" s="1"/>
  <c r="K285" i="1"/>
  <c r="D166" i="3" s="1"/>
  <c r="K289" i="1"/>
  <c r="D170" i="3" s="1"/>
  <c r="K293" i="1"/>
  <c r="D174" i="3" s="1"/>
  <c r="K297" i="1"/>
  <c r="D178" i="3" s="1"/>
  <c r="K301" i="1"/>
  <c r="D182" i="3" s="1"/>
  <c r="K305" i="1"/>
  <c r="H156" i="3" s="1"/>
  <c r="K309" i="1"/>
  <c r="H160" i="3" s="1"/>
  <c r="K274" i="1"/>
  <c r="D155" i="3" s="1"/>
  <c r="K278" i="1"/>
  <c r="D159" i="3" s="1"/>
  <c r="K282" i="1"/>
  <c r="D163" i="3" s="1"/>
  <c r="K286" i="1"/>
  <c r="D167" i="3" s="1"/>
  <c r="K290" i="1"/>
  <c r="D171" i="3" s="1"/>
  <c r="K294" i="1"/>
  <c r="D175" i="3" s="1"/>
  <c r="K298" i="1"/>
  <c r="D179" i="3" s="1"/>
  <c r="K302" i="1"/>
  <c r="D183" i="3" s="1"/>
  <c r="K306" i="1"/>
  <c r="H157" i="3" s="1"/>
  <c r="K310" i="1"/>
  <c r="H161" i="3" s="1"/>
  <c r="K330" i="1"/>
  <c r="H181" i="3" s="1"/>
  <c r="K326" i="1"/>
  <c r="H177" i="3" s="1"/>
  <c r="K318" i="1"/>
  <c r="H169" i="3" s="1"/>
  <c r="K314" i="1"/>
  <c r="H165" i="3" s="1"/>
  <c r="K273" i="1"/>
  <c r="D154" i="3" s="1"/>
  <c r="K329" i="1"/>
  <c r="H180" i="3" s="1"/>
  <c r="K325" i="1"/>
  <c r="H176" i="3" s="1"/>
  <c r="K321" i="1"/>
  <c r="H172" i="3" s="1"/>
  <c r="K317" i="1"/>
  <c r="H168" i="3" s="1"/>
  <c r="K313" i="1"/>
  <c r="H164" i="3" s="1"/>
  <c r="I11" i="2" l="1"/>
  <c r="F404" i="1"/>
  <c r="F15" i="2"/>
  <c r="H12" i="2"/>
  <c r="H184" i="3"/>
  <c r="H151" i="3" s="1"/>
  <c r="K342" i="1"/>
  <c r="D193" i="3" s="1"/>
  <c r="K399" i="1"/>
  <c r="H220" i="3" s="1"/>
  <c r="K395" i="1"/>
  <c r="H216" i="3" s="1"/>
  <c r="K391" i="1"/>
  <c r="H212" i="3" s="1"/>
  <c r="K387" i="1"/>
  <c r="H208" i="3" s="1"/>
  <c r="K383" i="1"/>
  <c r="H204" i="3" s="1"/>
  <c r="K379" i="1"/>
  <c r="H200" i="3" s="1"/>
  <c r="K375" i="1"/>
  <c r="H196" i="3" s="1"/>
  <c r="K371" i="1"/>
  <c r="H192" i="3" s="1"/>
  <c r="K367" i="1"/>
  <c r="D218" i="3" s="1"/>
  <c r="K363" i="1"/>
  <c r="D214" i="3" s="1"/>
  <c r="K359" i="1"/>
  <c r="D210" i="3" s="1"/>
  <c r="K355" i="1"/>
  <c r="D206" i="3" s="1"/>
  <c r="K351" i="1"/>
  <c r="D202" i="3" s="1"/>
  <c r="K347" i="1"/>
  <c r="D198" i="3" s="1"/>
  <c r="K343" i="1"/>
  <c r="D194" i="3" s="1"/>
  <c r="K397" i="1"/>
  <c r="H218" i="3" s="1"/>
  <c r="K393" i="1"/>
  <c r="H214" i="3" s="1"/>
  <c r="K389" i="1"/>
  <c r="H210" i="3" s="1"/>
  <c r="K385" i="1"/>
  <c r="H206" i="3" s="1"/>
  <c r="K381" i="1"/>
  <c r="H202" i="3" s="1"/>
  <c r="K377" i="1"/>
  <c r="H198" i="3" s="1"/>
  <c r="K373" i="1"/>
  <c r="H194" i="3" s="1"/>
  <c r="K369" i="1"/>
  <c r="D220" i="3" s="1"/>
  <c r="K365" i="1"/>
  <c r="D216" i="3" s="1"/>
  <c r="K361" i="1"/>
  <c r="D212" i="3" s="1"/>
  <c r="K357" i="1"/>
  <c r="D208" i="3" s="1"/>
  <c r="K353" i="1"/>
  <c r="D204" i="3" s="1"/>
  <c r="K349" i="1"/>
  <c r="D200" i="3" s="1"/>
  <c r="K345" i="1"/>
  <c r="D196" i="3" s="1"/>
  <c r="D192" i="3"/>
  <c r="K398" i="1"/>
  <c r="H219" i="3" s="1"/>
  <c r="K394" i="1"/>
  <c r="H215" i="3" s="1"/>
  <c r="K390" i="1"/>
  <c r="H211" i="3" s="1"/>
  <c r="K386" i="1"/>
  <c r="H207" i="3" s="1"/>
  <c r="K382" i="1"/>
  <c r="H203" i="3" s="1"/>
  <c r="K378" i="1"/>
  <c r="H199" i="3" s="1"/>
  <c r="K374" i="1"/>
  <c r="H195" i="3" s="1"/>
  <c r="K370" i="1"/>
  <c r="H191" i="3" s="1"/>
  <c r="K366" i="1"/>
  <c r="D217" i="3" s="1"/>
  <c r="K362" i="1"/>
  <c r="D213" i="3" s="1"/>
  <c r="K358" i="1"/>
  <c r="D209" i="3" s="1"/>
  <c r="K354" i="1"/>
  <c r="D205" i="3" s="1"/>
  <c r="K350" i="1"/>
  <c r="D201" i="3" s="1"/>
  <c r="K346" i="1"/>
  <c r="D197" i="3" s="1"/>
  <c r="K340" i="1"/>
  <c r="D191" i="3" s="1"/>
  <c r="K396" i="1"/>
  <c r="H217" i="3" s="1"/>
  <c r="K392" i="1"/>
  <c r="H213" i="3" s="1"/>
  <c r="K388" i="1"/>
  <c r="H209" i="3" s="1"/>
  <c r="K384" i="1"/>
  <c r="H205" i="3" s="1"/>
  <c r="K380" i="1"/>
  <c r="H201" i="3" s="1"/>
  <c r="K376" i="1"/>
  <c r="H197" i="3" s="1"/>
  <c r="K372" i="1"/>
  <c r="H193" i="3" s="1"/>
  <c r="K368" i="1"/>
  <c r="D219" i="3" s="1"/>
  <c r="K364" i="1"/>
  <c r="D215" i="3" s="1"/>
  <c r="K360" i="1"/>
  <c r="D211" i="3" s="1"/>
  <c r="K356" i="1"/>
  <c r="D207" i="3" s="1"/>
  <c r="K352" i="1"/>
  <c r="D203" i="3" s="1"/>
  <c r="K348" i="1"/>
  <c r="D199" i="3" s="1"/>
  <c r="K344" i="1"/>
  <c r="D195" i="3" s="1"/>
  <c r="K333" i="1"/>
  <c r="G12" i="2" l="1"/>
  <c r="I12" i="2" s="1"/>
  <c r="F471" i="1"/>
  <c r="F16" i="2"/>
  <c r="H13" i="2"/>
  <c r="H221" i="3"/>
  <c r="H188" i="3" s="1"/>
  <c r="K409" i="1"/>
  <c r="D230" i="3" s="1"/>
  <c r="K466" i="1"/>
  <c r="H257" i="3" s="1"/>
  <c r="K462" i="1"/>
  <c r="H253" i="3" s="1"/>
  <c r="K458" i="1"/>
  <c r="H249" i="3" s="1"/>
  <c r="K454" i="1"/>
  <c r="H245" i="3" s="1"/>
  <c r="K450" i="1"/>
  <c r="H241" i="3" s="1"/>
  <c r="K446" i="1"/>
  <c r="H237" i="3" s="1"/>
  <c r="K442" i="1"/>
  <c r="H233" i="3" s="1"/>
  <c r="K438" i="1"/>
  <c r="H229" i="3" s="1"/>
  <c r="K434" i="1"/>
  <c r="D255" i="3" s="1"/>
  <c r="K430" i="1"/>
  <c r="D251" i="3" s="1"/>
  <c r="K426" i="1"/>
  <c r="D247" i="3" s="1"/>
  <c r="K422" i="1"/>
  <c r="D243" i="3" s="1"/>
  <c r="K418" i="1"/>
  <c r="D239" i="3" s="1"/>
  <c r="K414" i="1"/>
  <c r="D235" i="3" s="1"/>
  <c r="K410" i="1"/>
  <c r="D231" i="3" s="1"/>
  <c r="K464" i="1"/>
  <c r="H255" i="3" s="1"/>
  <c r="K460" i="1"/>
  <c r="H251" i="3" s="1"/>
  <c r="K456" i="1"/>
  <c r="H247" i="3" s="1"/>
  <c r="K452" i="1"/>
  <c r="H243" i="3" s="1"/>
  <c r="K448" i="1"/>
  <c r="H239" i="3" s="1"/>
  <c r="K444" i="1"/>
  <c r="H235" i="3" s="1"/>
  <c r="K440" i="1"/>
  <c r="H231" i="3" s="1"/>
  <c r="K436" i="1"/>
  <c r="D257" i="3" s="1"/>
  <c r="K432" i="1"/>
  <c r="D253" i="3" s="1"/>
  <c r="K428" i="1"/>
  <c r="D249" i="3" s="1"/>
  <c r="K424" i="1"/>
  <c r="D245" i="3" s="1"/>
  <c r="K420" i="1"/>
  <c r="D241" i="3" s="1"/>
  <c r="K416" i="1"/>
  <c r="D237" i="3" s="1"/>
  <c r="K412" i="1"/>
  <c r="D233" i="3" s="1"/>
  <c r="K408" i="1"/>
  <c r="D229" i="3" s="1"/>
  <c r="K407" i="1"/>
  <c r="D228" i="3" s="1"/>
  <c r="K463" i="1"/>
  <c r="H254" i="3" s="1"/>
  <c r="K459" i="1"/>
  <c r="H250" i="3" s="1"/>
  <c r="K455" i="1"/>
  <c r="H246" i="3" s="1"/>
  <c r="K451" i="1"/>
  <c r="H242" i="3" s="1"/>
  <c r="K447" i="1"/>
  <c r="H238" i="3" s="1"/>
  <c r="K443" i="1"/>
  <c r="H234" i="3" s="1"/>
  <c r="K439" i="1"/>
  <c r="H230" i="3" s="1"/>
  <c r="K435" i="1"/>
  <c r="D256" i="3" s="1"/>
  <c r="K431" i="1"/>
  <c r="D252" i="3" s="1"/>
  <c r="K427" i="1"/>
  <c r="D248" i="3" s="1"/>
  <c r="K423" i="1"/>
  <c r="D244" i="3" s="1"/>
  <c r="K419" i="1"/>
  <c r="D240" i="3" s="1"/>
  <c r="K415" i="1"/>
  <c r="D236" i="3" s="1"/>
  <c r="K411" i="1"/>
  <c r="D232" i="3" s="1"/>
  <c r="K465" i="1"/>
  <c r="H256" i="3" s="1"/>
  <c r="K461" i="1"/>
  <c r="H252" i="3" s="1"/>
  <c r="K457" i="1"/>
  <c r="H248" i="3" s="1"/>
  <c r="K453" i="1"/>
  <c r="H244" i="3" s="1"/>
  <c r="K449" i="1"/>
  <c r="H240" i="3" s="1"/>
  <c r="K445" i="1"/>
  <c r="H236" i="3" s="1"/>
  <c r="K441" i="1"/>
  <c r="H232" i="3" s="1"/>
  <c r="K437" i="1"/>
  <c r="H228" i="3" s="1"/>
  <c r="K433" i="1"/>
  <c r="D254" i="3" s="1"/>
  <c r="K429" i="1"/>
  <c r="D250" i="3" s="1"/>
  <c r="K425" i="1"/>
  <c r="D246" i="3" s="1"/>
  <c r="K421" i="1"/>
  <c r="D242" i="3" s="1"/>
  <c r="K417" i="1"/>
  <c r="D238" i="3" s="1"/>
  <c r="K413" i="1"/>
  <c r="D234" i="3" s="1"/>
  <c r="K400" i="1"/>
  <c r="G13" i="2" l="1"/>
  <c r="I13" i="2" s="1"/>
  <c r="F538" i="1"/>
  <c r="F17" i="2"/>
  <c r="H14" i="2"/>
  <c r="G14" i="2" s="1"/>
  <c r="H258" i="3"/>
  <c r="H225" i="3" s="1"/>
  <c r="K476" i="1"/>
  <c r="D267" i="3" s="1"/>
  <c r="K533" i="1"/>
  <c r="H294" i="3" s="1"/>
  <c r="K529" i="1"/>
  <c r="H290" i="3" s="1"/>
  <c r="K525" i="1"/>
  <c r="H286" i="3" s="1"/>
  <c r="K521" i="1"/>
  <c r="H282" i="3" s="1"/>
  <c r="K517" i="1"/>
  <c r="H278" i="3" s="1"/>
  <c r="K513" i="1"/>
  <c r="H274" i="3" s="1"/>
  <c r="K509" i="1"/>
  <c r="H270" i="3" s="1"/>
  <c r="K505" i="1"/>
  <c r="H266" i="3" s="1"/>
  <c r="K501" i="1"/>
  <c r="D292" i="3" s="1"/>
  <c r="K497" i="1"/>
  <c r="D288" i="3" s="1"/>
  <c r="K493" i="1"/>
  <c r="D284" i="3" s="1"/>
  <c r="K489" i="1"/>
  <c r="D280" i="3" s="1"/>
  <c r="K485" i="1"/>
  <c r="D276" i="3" s="1"/>
  <c r="K481" i="1"/>
  <c r="D272" i="3" s="1"/>
  <c r="K477" i="1"/>
  <c r="D268" i="3" s="1"/>
  <c r="K531" i="1"/>
  <c r="H292" i="3" s="1"/>
  <c r="K527" i="1"/>
  <c r="H288" i="3" s="1"/>
  <c r="K523" i="1"/>
  <c r="H284" i="3" s="1"/>
  <c r="K519" i="1"/>
  <c r="H280" i="3" s="1"/>
  <c r="K515" i="1"/>
  <c r="H276" i="3" s="1"/>
  <c r="K511" i="1"/>
  <c r="H272" i="3" s="1"/>
  <c r="K507" i="1"/>
  <c r="H268" i="3" s="1"/>
  <c r="K503" i="1"/>
  <c r="D294" i="3" s="1"/>
  <c r="K499" i="1"/>
  <c r="D290" i="3" s="1"/>
  <c r="K495" i="1"/>
  <c r="D286" i="3" s="1"/>
  <c r="K491" i="1"/>
  <c r="D282" i="3" s="1"/>
  <c r="K487" i="1"/>
  <c r="D278" i="3" s="1"/>
  <c r="K483" i="1"/>
  <c r="D274" i="3" s="1"/>
  <c r="K479" i="1"/>
  <c r="D270" i="3" s="1"/>
  <c r="K475" i="1"/>
  <c r="D266" i="3" s="1"/>
  <c r="K532" i="1"/>
  <c r="H293" i="3" s="1"/>
  <c r="K528" i="1"/>
  <c r="H289" i="3" s="1"/>
  <c r="K524" i="1"/>
  <c r="H285" i="3" s="1"/>
  <c r="K520" i="1"/>
  <c r="H281" i="3" s="1"/>
  <c r="K516" i="1"/>
  <c r="H277" i="3" s="1"/>
  <c r="K512" i="1"/>
  <c r="H273" i="3" s="1"/>
  <c r="K508" i="1"/>
  <c r="H269" i="3" s="1"/>
  <c r="K504" i="1"/>
  <c r="H265" i="3" s="1"/>
  <c r="K500" i="1"/>
  <c r="D291" i="3" s="1"/>
  <c r="K496" i="1"/>
  <c r="D287" i="3" s="1"/>
  <c r="K492" i="1"/>
  <c r="D283" i="3" s="1"/>
  <c r="K488" i="1"/>
  <c r="D279" i="3" s="1"/>
  <c r="K484" i="1"/>
  <c r="D275" i="3" s="1"/>
  <c r="K480" i="1"/>
  <c r="D271" i="3" s="1"/>
  <c r="K474" i="1"/>
  <c r="D265" i="3" s="1"/>
  <c r="K530" i="1"/>
  <c r="H291" i="3" s="1"/>
  <c r="K526" i="1"/>
  <c r="H287" i="3" s="1"/>
  <c r="K522" i="1"/>
  <c r="H283" i="3" s="1"/>
  <c r="K518" i="1"/>
  <c r="H279" i="3" s="1"/>
  <c r="K514" i="1"/>
  <c r="H275" i="3" s="1"/>
  <c r="K510" i="1"/>
  <c r="H271" i="3" s="1"/>
  <c r="K506" i="1"/>
  <c r="H267" i="3" s="1"/>
  <c r="K502" i="1"/>
  <c r="D293" i="3" s="1"/>
  <c r="K498" i="1"/>
  <c r="D289" i="3" s="1"/>
  <c r="K494" i="1"/>
  <c r="D285" i="3" s="1"/>
  <c r="K490" i="1"/>
  <c r="D281" i="3" s="1"/>
  <c r="K486" i="1"/>
  <c r="D277" i="3" s="1"/>
  <c r="K482" i="1"/>
  <c r="D273" i="3" s="1"/>
  <c r="K478" i="1"/>
  <c r="D269" i="3" s="1"/>
  <c r="K467" i="1"/>
  <c r="I14" i="2" l="1"/>
  <c r="F605" i="1"/>
  <c r="F18" i="2"/>
  <c r="H15" i="2"/>
  <c r="H295" i="3"/>
  <c r="H262" i="3" s="1"/>
  <c r="K543" i="1"/>
  <c r="D304" i="3" s="1"/>
  <c r="K600" i="1"/>
  <c r="H331" i="3" s="1"/>
  <c r="K596" i="1"/>
  <c r="H327" i="3" s="1"/>
  <c r="K592" i="1"/>
  <c r="H323" i="3" s="1"/>
  <c r="K588" i="1"/>
  <c r="H319" i="3" s="1"/>
  <c r="K584" i="1"/>
  <c r="H315" i="3" s="1"/>
  <c r="K580" i="1"/>
  <c r="H311" i="3" s="1"/>
  <c r="K576" i="1"/>
  <c r="H307" i="3" s="1"/>
  <c r="K572" i="1"/>
  <c r="H303" i="3" s="1"/>
  <c r="K568" i="1"/>
  <c r="D329" i="3" s="1"/>
  <c r="K564" i="1"/>
  <c r="D325" i="3" s="1"/>
  <c r="K560" i="1"/>
  <c r="D321" i="3" s="1"/>
  <c r="K556" i="1"/>
  <c r="D317" i="3" s="1"/>
  <c r="K552" i="1"/>
  <c r="D313" i="3" s="1"/>
  <c r="K548" i="1"/>
  <c r="D309" i="3" s="1"/>
  <c r="K544" i="1"/>
  <c r="D305" i="3" s="1"/>
  <c r="K598" i="1"/>
  <c r="H329" i="3" s="1"/>
  <c r="K594" i="1"/>
  <c r="H325" i="3" s="1"/>
  <c r="K590" i="1"/>
  <c r="H321" i="3" s="1"/>
  <c r="K586" i="1"/>
  <c r="H317" i="3" s="1"/>
  <c r="K582" i="1"/>
  <c r="H313" i="3" s="1"/>
  <c r="K578" i="1"/>
  <c r="H309" i="3" s="1"/>
  <c r="K574" i="1"/>
  <c r="H305" i="3" s="1"/>
  <c r="K570" i="1"/>
  <c r="D331" i="3" s="1"/>
  <c r="K566" i="1"/>
  <c r="D327" i="3" s="1"/>
  <c r="K562" i="1"/>
  <c r="D323" i="3" s="1"/>
  <c r="K558" i="1"/>
  <c r="D319" i="3" s="1"/>
  <c r="K554" i="1"/>
  <c r="D315" i="3" s="1"/>
  <c r="K550" i="1"/>
  <c r="D311" i="3" s="1"/>
  <c r="K546" i="1"/>
  <c r="D307" i="3" s="1"/>
  <c r="K542" i="1"/>
  <c r="D303" i="3" s="1"/>
  <c r="K541" i="1"/>
  <c r="D302" i="3" s="1"/>
  <c r="K597" i="1"/>
  <c r="H328" i="3" s="1"/>
  <c r="K593" i="1"/>
  <c r="H324" i="3" s="1"/>
  <c r="K589" i="1"/>
  <c r="H320" i="3" s="1"/>
  <c r="K585" i="1"/>
  <c r="H316" i="3" s="1"/>
  <c r="K581" i="1"/>
  <c r="H312" i="3" s="1"/>
  <c r="K577" i="1"/>
  <c r="H308" i="3" s="1"/>
  <c r="K573" i="1"/>
  <c r="H304" i="3" s="1"/>
  <c r="K569" i="1"/>
  <c r="D330" i="3" s="1"/>
  <c r="K565" i="1"/>
  <c r="D326" i="3" s="1"/>
  <c r="K561" i="1"/>
  <c r="D322" i="3" s="1"/>
  <c r="K557" i="1"/>
  <c r="D318" i="3" s="1"/>
  <c r="K553" i="1"/>
  <c r="D314" i="3" s="1"/>
  <c r="K549" i="1"/>
  <c r="D310" i="3" s="1"/>
  <c r="K545" i="1"/>
  <c r="D306" i="3" s="1"/>
  <c r="K599" i="1"/>
  <c r="H330" i="3" s="1"/>
  <c r="K595" i="1"/>
  <c r="H326" i="3" s="1"/>
  <c r="K591" i="1"/>
  <c r="H322" i="3" s="1"/>
  <c r="K587" i="1"/>
  <c r="H318" i="3" s="1"/>
  <c r="K583" i="1"/>
  <c r="H314" i="3" s="1"/>
  <c r="K579" i="1"/>
  <c r="H310" i="3" s="1"/>
  <c r="K575" i="1"/>
  <c r="H306" i="3" s="1"/>
  <c r="K571" i="1"/>
  <c r="H302" i="3" s="1"/>
  <c r="K567" i="1"/>
  <c r="D328" i="3" s="1"/>
  <c r="K563" i="1"/>
  <c r="D324" i="3" s="1"/>
  <c r="K559" i="1"/>
  <c r="D320" i="3" s="1"/>
  <c r="K555" i="1"/>
  <c r="D316" i="3" s="1"/>
  <c r="K551" i="1"/>
  <c r="D312" i="3" s="1"/>
  <c r="K547" i="1"/>
  <c r="D308" i="3" s="1"/>
  <c r="K534" i="1"/>
  <c r="G15" i="2" l="1"/>
  <c r="I15" i="2" s="1"/>
  <c r="F672" i="1"/>
  <c r="H16" i="2"/>
  <c r="H332" i="3"/>
  <c r="H299" i="3" s="1"/>
  <c r="K610" i="1"/>
  <c r="D341" i="3" s="1"/>
  <c r="K667" i="1"/>
  <c r="H368" i="3" s="1"/>
  <c r="K663" i="1"/>
  <c r="H364" i="3" s="1"/>
  <c r="K659" i="1"/>
  <c r="H360" i="3" s="1"/>
  <c r="K655" i="1"/>
  <c r="H356" i="3" s="1"/>
  <c r="K651" i="1"/>
  <c r="H352" i="3" s="1"/>
  <c r="K647" i="1"/>
  <c r="H348" i="3" s="1"/>
  <c r="K643" i="1"/>
  <c r="H344" i="3" s="1"/>
  <c r="K639" i="1"/>
  <c r="H340" i="3" s="1"/>
  <c r="K635" i="1"/>
  <c r="D366" i="3" s="1"/>
  <c r="K631" i="1"/>
  <c r="D362" i="3" s="1"/>
  <c r="K627" i="1"/>
  <c r="D358" i="3" s="1"/>
  <c r="K623" i="1"/>
  <c r="D354" i="3" s="1"/>
  <c r="K619" i="1"/>
  <c r="D350" i="3" s="1"/>
  <c r="K615" i="1"/>
  <c r="D346" i="3" s="1"/>
  <c r="K611" i="1"/>
  <c r="D342" i="3" s="1"/>
  <c r="K665" i="1"/>
  <c r="H366" i="3" s="1"/>
  <c r="K661" i="1"/>
  <c r="H362" i="3" s="1"/>
  <c r="K657" i="1"/>
  <c r="H358" i="3" s="1"/>
  <c r="K653" i="1"/>
  <c r="H354" i="3" s="1"/>
  <c r="K649" i="1"/>
  <c r="H350" i="3" s="1"/>
  <c r="K645" i="1"/>
  <c r="H346" i="3" s="1"/>
  <c r="K641" i="1"/>
  <c r="H342" i="3" s="1"/>
  <c r="K637" i="1"/>
  <c r="D368" i="3" s="1"/>
  <c r="K633" i="1"/>
  <c r="D364" i="3" s="1"/>
  <c r="K629" i="1"/>
  <c r="D360" i="3" s="1"/>
  <c r="K625" i="1"/>
  <c r="D356" i="3" s="1"/>
  <c r="K621" i="1"/>
  <c r="D352" i="3" s="1"/>
  <c r="K617" i="1"/>
  <c r="D348" i="3" s="1"/>
  <c r="K613" i="1"/>
  <c r="D344" i="3" s="1"/>
  <c r="K609" i="1"/>
  <c r="D340" i="3" s="1"/>
  <c r="K666" i="1"/>
  <c r="H367" i="3" s="1"/>
  <c r="K662" i="1"/>
  <c r="H363" i="3" s="1"/>
  <c r="K658" i="1"/>
  <c r="H359" i="3" s="1"/>
  <c r="K654" i="1"/>
  <c r="H355" i="3" s="1"/>
  <c r="K650" i="1"/>
  <c r="H351" i="3" s="1"/>
  <c r="K646" i="1"/>
  <c r="H347" i="3" s="1"/>
  <c r="K642" i="1"/>
  <c r="H343" i="3" s="1"/>
  <c r="K638" i="1"/>
  <c r="H339" i="3" s="1"/>
  <c r="K634" i="1"/>
  <c r="D365" i="3" s="1"/>
  <c r="K630" i="1"/>
  <c r="D361" i="3" s="1"/>
  <c r="K626" i="1"/>
  <c r="D357" i="3" s="1"/>
  <c r="K622" i="1"/>
  <c r="D353" i="3" s="1"/>
  <c r="K618" i="1"/>
  <c r="D349" i="3" s="1"/>
  <c r="K614" i="1"/>
  <c r="D345" i="3" s="1"/>
  <c r="K608" i="1"/>
  <c r="D339" i="3" s="1"/>
  <c r="K664" i="1"/>
  <c r="H365" i="3" s="1"/>
  <c r="K660" i="1"/>
  <c r="H361" i="3" s="1"/>
  <c r="K656" i="1"/>
  <c r="H357" i="3" s="1"/>
  <c r="K652" i="1"/>
  <c r="H353" i="3" s="1"/>
  <c r="K648" i="1"/>
  <c r="H349" i="3" s="1"/>
  <c r="K644" i="1"/>
  <c r="H345" i="3" s="1"/>
  <c r="K640" i="1"/>
  <c r="H341" i="3" s="1"/>
  <c r="K636" i="1"/>
  <c r="D367" i="3" s="1"/>
  <c r="K632" i="1"/>
  <c r="D363" i="3" s="1"/>
  <c r="K628" i="1"/>
  <c r="D359" i="3" s="1"/>
  <c r="K624" i="1"/>
  <c r="D355" i="3" s="1"/>
  <c r="K620" i="1"/>
  <c r="D351" i="3" s="1"/>
  <c r="K616" i="1"/>
  <c r="D347" i="3" s="1"/>
  <c r="K612" i="1"/>
  <c r="D343" i="3" s="1"/>
  <c r="K601" i="1"/>
  <c r="G16" i="2" l="1"/>
  <c r="I16" i="2" s="1"/>
  <c r="F739" i="1"/>
  <c r="F20" i="2"/>
  <c r="H17" i="2"/>
  <c r="H369" i="3"/>
  <c r="H336" i="3" s="1"/>
  <c r="K677" i="1"/>
  <c r="D378" i="3" s="1"/>
  <c r="K734" i="1"/>
  <c r="H405" i="3" s="1"/>
  <c r="K730" i="1"/>
  <c r="H401" i="3" s="1"/>
  <c r="K726" i="1"/>
  <c r="H397" i="3" s="1"/>
  <c r="K722" i="1"/>
  <c r="H393" i="3" s="1"/>
  <c r="K718" i="1"/>
  <c r="H389" i="3" s="1"/>
  <c r="K714" i="1"/>
  <c r="H385" i="3" s="1"/>
  <c r="K710" i="1"/>
  <c r="H381" i="3" s="1"/>
  <c r="K706" i="1"/>
  <c r="H377" i="3" s="1"/>
  <c r="K702" i="1"/>
  <c r="D403" i="3" s="1"/>
  <c r="K698" i="1"/>
  <c r="D399" i="3" s="1"/>
  <c r="K694" i="1"/>
  <c r="D395" i="3" s="1"/>
  <c r="K690" i="1"/>
  <c r="D391" i="3" s="1"/>
  <c r="K686" i="1"/>
  <c r="D387" i="3" s="1"/>
  <c r="K682" i="1"/>
  <c r="D383" i="3" s="1"/>
  <c r="K678" i="1"/>
  <c r="D379" i="3" s="1"/>
  <c r="K732" i="1"/>
  <c r="H403" i="3" s="1"/>
  <c r="K728" i="1"/>
  <c r="H399" i="3" s="1"/>
  <c r="K724" i="1"/>
  <c r="H395" i="3" s="1"/>
  <c r="K720" i="1"/>
  <c r="H391" i="3" s="1"/>
  <c r="K716" i="1"/>
  <c r="H387" i="3" s="1"/>
  <c r="K712" i="1"/>
  <c r="H383" i="3" s="1"/>
  <c r="K708" i="1"/>
  <c r="H379" i="3" s="1"/>
  <c r="K704" i="1"/>
  <c r="D405" i="3" s="1"/>
  <c r="K700" i="1"/>
  <c r="D401" i="3" s="1"/>
  <c r="K696" i="1"/>
  <c r="D397" i="3" s="1"/>
  <c r="K692" i="1"/>
  <c r="D393" i="3" s="1"/>
  <c r="K688" i="1"/>
  <c r="D389" i="3" s="1"/>
  <c r="K684" i="1"/>
  <c r="D385" i="3" s="1"/>
  <c r="K680" i="1"/>
  <c r="D381" i="3" s="1"/>
  <c r="K676" i="1"/>
  <c r="D377" i="3" s="1"/>
  <c r="K675" i="1"/>
  <c r="D376" i="3" s="1"/>
  <c r="K731" i="1"/>
  <c r="H402" i="3" s="1"/>
  <c r="K727" i="1"/>
  <c r="H398" i="3" s="1"/>
  <c r="K723" i="1"/>
  <c r="H394" i="3" s="1"/>
  <c r="K719" i="1"/>
  <c r="H390" i="3" s="1"/>
  <c r="K715" i="1"/>
  <c r="H386" i="3" s="1"/>
  <c r="K711" i="1"/>
  <c r="H382" i="3" s="1"/>
  <c r="K707" i="1"/>
  <c r="H378" i="3" s="1"/>
  <c r="K703" i="1"/>
  <c r="D404" i="3" s="1"/>
  <c r="K699" i="1"/>
  <c r="D400" i="3" s="1"/>
  <c r="K695" i="1"/>
  <c r="D396" i="3" s="1"/>
  <c r="K691" i="1"/>
  <c r="D392" i="3" s="1"/>
  <c r="K687" i="1"/>
  <c r="D388" i="3" s="1"/>
  <c r="K683" i="1"/>
  <c r="D384" i="3" s="1"/>
  <c r="K679" i="1"/>
  <c r="D380" i="3" s="1"/>
  <c r="K733" i="1"/>
  <c r="H404" i="3" s="1"/>
  <c r="K729" i="1"/>
  <c r="H400" i="3" s="1"/>
  <c r="K725" i="1"/>
  <c r="H396" i="3" s="1"/>
  <c r="K721" i="1"/>
  <c r="H392" i="3" s="1"/>
  <c r="K717" i="1"/>
  <c r="H388" i="3" s="1"/>
  <c r="K713" i="1"/>
  <c r="H384" i="3" s="1"/>
  <c r="K709" i="1"/>
  <c r="H380" i="3" s="1"/>
  <c r="K705" i="1"/>
  <c r="H376" i="3" s="1"/>
  <c r="K701" i="1"/>
  <c r="D402" i="3" s="1"/>
  <c r="K697" i="1"/>
  <c r="D398" i="3" s="1"/>
  <c r="K693" i="1"/>
  <c r="D394" i="3" s="1"/>
  <c r="K689" i="1"/>
  <c r="D390" i="3" s="1"/>
  <c r="K685" i="1"/>
  <c r="D386" i="3" s="1"/>
  <c r="K681" i="1"/>
  <c r="D382" i="3" s="1"/>
  <c r="K668" i="1"/>
  <c r="G17" i="2" l="1"/>
  <c r="I17" i="2" s="1"/>
  <c r="F806" i="1"/>
  <c r="F21" i="2"/>
  <c r="H18" i="2"/>
  <c r="H406" i="3"/>
  <c r="H373" i="3" s="1"/>
  <c r="K744" i="1"/>
  <c r="D415" i="3" s="1"/>
  <c r="K801" i="1"/>
  <c r="H442" i="3" s="1"/>
  <c r="K797" i="1"/>
  <c r="H438" i="3" s="1"/>
  <c r="K793" i="1"/>
  <c r="H434" i="3" s="1"/>
  <c r="K789" i="1"/>
  <c r="H430" i="3" s="1"/>
  <c r="K785" i="1"/>
  <c r="H426" i="3" s="1"/>
  <c r="K781" i="1"/>
  <c r="H422" i="3" s="1"/>
  <c r="K777" i="1"/>
  <c r="H418" i="3" s="1"/>
  <c r="K773" i="1"/>
  <c r="H414" i="3" s="1"/>
  <c r="K769" i="1"/>
  <c r="D440" i="3" s="1"/>
  <c r="K765" i="1"/>
  <c r="D436" i="3" s="1"/>
  <c r="K761" i="1"/>
  <c r="D432" i="3" s="1"/>
  <c r="K757" i="1"/>
  <c r="D428" i="3" s="1"/>
  <c r="K753" i="1"/>
  <c r="D424" i="3" s="1"/>
  <c r="K749" i="1"/>
  <c r="D420" i="3" s="1"/>
  <c r="K745" i="1"/>
  <c r="D416" i="3" s="1"/>
  <c r="K799" i="1"/>
  <c r="H440" i="3" s="1"/>
  <c r="K795" i="1"/>
  <c r="H436" i="3" s="1"/>
  <c r="K791" i="1"/>
  <c r="H432" i="3" s="1"/>
  <c r="K787" i="1"/>
  <c r="H428" i="3" s="1"/>
  <c r="K783" i="1"/>
  <c r="H424" i="3" s="1"/>
  <c r="K779" i="1"/>
  <c r="H420" i="3" s="1"/>
  <c r="K775" i="1"/>
  <c r="H416" i="3" s="1"/>
  <c r="K771" i="1"/>
  <c r="D442" i="3" s="1"/>
  <c r="K767" i="1"/>
  <c r="D438" i="3" s="1"/>
  <c r="K763" i="1"/>
  <c r="D434" i="3" s="1"/>
  <c r="K759" i="1"/>
  <c r="D430" i="3" s="1"/>
  <c r="K755" i="1"/>
  <c r="D426" i="3" s="1"/>
  <c r="K751" i="1"/>
  <c r="D422" i="3" s="1"/>
  <c r="K747" i="1"/>
  <c r="D418" i="3" s="1"/>
  <c r="K743" i="1"/>
  <c r="D414" i="3" s="1"/>
  <c r="K800" i="1"/>
  <c r="H441" i="3" s="1"/>
  <c r="K796" i="1"/>
  <c r="H437" i="3" s="1"/>
  <c r="K792" i="1"/>
  <c r="H433" i="3" s="1"/>
  <c r="K788" i="1"/>
  <c r="H429" i="3" s="1"/>
  <c r="K784" i="1"/>
  <c r="H425" i="3" s="1"/>
  <c r="K780" i="1"/>
  <c r="H421" i="3" s="1"/>
  <c r="K776" i="1"/>
  <c r="H417" i="3" s="1"/>
  <c r="K772" i="1"/>
  <c r="H413" i="3" s="1"/>
  <c r="K768" i="1"/>
  <c r="D439" i="3" s="1"/>
  <c r="K764" i="1"/>
  <c r="D435" i="3" s="1"/>
  <c r="K760" i="1"/>
  <c r="D431" i="3" s="1"/>
  <c r="K756" i="1"/>
  <c r="D427" i="3" s="1"/>
  <c r="K752" i="1"/>
  <c r="D423" i="3" s="1"/>
  <c r="K748" i="1"/>
  <c r="D419" i="3" s="1"/>
  <c r="K742" i="1"/>
  <c r="D413" i="3" s="1"/>
  <c r="K798" i="1"/>
  <c r="H439" i="3" s="1"/>
  <c r="K794" i="1"/>
  <c r="H435" i="3" s="1"/>
  <c r="K790" i="1"/>
  <c r="H431" i="3" s="1"/>
  <c r="K786" i="1"/>
  <c r="H427" i="3" s="1"/>
  <c r="K782" i="1"/>
  <c r="H423" i="3" s="1"/>
  <c r="K778" i="1"/>
  <c r="H419" i="3" s="1"/>
  <c r="K774" i="1"/>
  <c r="H415" i="3" s="1"/>
  <c r="K770" i="1"/>
  <c r="D441" i="3" s="1"/>
  <c r="K766" i="1"/>
  <c r="D437" i="3" s="1"/>
  <c r="K762" i="1"/>
  <c r="D433" i="3" s="1"/>
  <c r="K758" i="1"/>
  <c r="D429" i="3" s="1"/>
  <c r="K754" i="1"/>
  <c r="D425" i="3" s="1"/>
  <c r="K750" i="1"/>
  <c r="D421" i="3" s="1"/>
  <c r="K746" i="1"/>
  <c r="D417" i="3" s="1"/>
  <c r="K735" i="1"/>
  <c r="G18" i="2" l="1"/>
  <c r="I18" i="2" s="1"/>
  <c r="F873" i="1"/>
  <c r="F22" i="2"/>
  <c r="H19" i="2"/>
  <c r="H443" i="3"/>
  <c r="H410" i="3" s="1"/>
  <c r="K811" i="1"/>
  <c r="D452" i="3" s="1"/>
  <c r="K868" i="1"/>
  <c r="H479" i="3" s="1"/>
  <c r="K864" i="1"/>
  <c r="H475" i="3" s="1"/>
  <c r="K860" i="1"/>
  <c r="H471" i="3" s="1"/>
  <c r="K856" i="1"/>
  <c r="H467" i="3" s="1"/>
  <c r="K852" i="1"/>
  <c r="H463" i="3" s="1"/>
  <c r="K848" i="1"/>
  <c r="H459" i="3" s="1"/>
  <c r="K844" i="1"/>
  <c r="H455" i="3" s="1"/>
  <c r="K840" i="1"/>
  <c r="H451" i="3" s="1"/>
  <c r="K836" i="1"/>
  <c r="D477" i="3" s="1"/>
  <c r="K832" i="1"/>
  <c r="D473" i="3" s="1"/>
  <c r="K828" i="1"/>
  <c r="D469" i="3" s="1"/>
  <c r="K824" i="1"/>
  <c r="D465" i="3" s="1"/>
  <c r="K820" i="1"/>
  <c r="D461" i="3" s="1"/>
  <c r="K816" i="1"/>
  <c r="D457" i="3" s="1"/>
  <c r="K812" i="1"/>
  <c r="D453" i="3" s="1"/>
  <c r="K866" i="1"/>
  <c r="H477" i="3" s="1"/>
  <c r="K862" i="1"/>
  <c r="H473" i="3" s="1"/>
  <c r="K858" i="1"/>
  <c r="H469" i="3" s="1"/>
  <c r="K854" i="1"/>
  <c r="H465" i="3" s="1"/>
  <c r="K850" i="1"/>
  <c r="H461" i="3" s="1"/>
  <c r="K846" i="1"/>
  <c r="H457" i="3" s="1"/>
  <c r="K842" i="1"/>
  <c r="H453" i="3" s="1"/>
  <c r="K838" i="1"/>
  <c r="D479" i="3" s="1"/>
  <c r="K834" i="1"/>
  <c r="D475" i="3" s="1"/>
  <c r="K830" i="1"/>
  <c r="D471" i="3" s="1"/>
  <c r="K826" i="1"/>
  <c r="D467" i="3" s="1"/>
  <c r="K822" i="1"/>
  <c r="D463" i="3" s="1"/>
  <c r="K818" i="1"/>
  <c r="D459" i="3" s="1"/>
  <c r="K814" i="1"/>
  <c r="D455" i="3" s="1"/>
  <c r="K810" i="1"/>
  <c r="D451" i="3" s="1"/>
  <c r="K809" i="1"/>
  <c r="D450" i="3" s="1"/>
  <c r="K865" i="1"/>
  <c r="H476" i="3" s="1"/>
  <c r="K861" i="1"/>
  <c r="H472" i="3" s="1"/>
  <c r="K857" i="1"/>
  <c r="H468" i="3" s="1"/>
  <c r="K853" i="1"/>
  <c r="H464" i="3" s="1"/>
  <c r="K849" i="1"/>
  <c r="H460" i="3" s="1"/>
  <c r="K845" i="1"/>
  <c r="H456" i="3" s="1"/>
  <c r="K841" i="1"/>
  <c r="H452" i="3" s="1"/>
  <c r="K837" i="1"/>
  <c r="D478" i="3" s="1"/>
  <c r="K833" i="1"/>
  <c r="D474" i="3" s="1"/>
  <c r="K829" i="1"/>
  <c r="D470" i="3" s="1"/>
  <c r="K825" i="1"/>
  <c r="D466" i="3" s="1"/>
  <c r="K821" i="1"/>
  <c r="D462" i="3" s="1"/>
  <c r="K817" i="1"/>
  <c r="D458" i="3" s="1"/>
  <c r="K813" i="1"/>
  <c r="D454" i="3" s="1"/>
  <c r="K867" i="1"/>
  <c r="H478" i="3" s="1"/>
  <c r="K863" i="1"/>
  <c r="H474" i="3" s="1"/>
  <c r="K859" i="1"/>
  <c r="H470" i="3" s="1"/>
  <c r="K855" i="1"/>
  <c r="H466" i="3" s="1"/>
  <c r="K851" i="1"/>
  <c r="H462" i="3" s="1"/>
  <c r="K847" i="1"/>
  <c r="H458" i="3" s="1"/>
  <c r="K843" i="1"/>
  <c r="H454" i="3" s="1"/>
  <c r="K839" i="1"/>
  <c r="H450" i="3" s="1"/>
  <c r="K835" i="1"/>
  <c r="D476" i="3" s="1"/>
  <c r="K831" i="1"/>
  <c r="D472" i="3" s="1"/>
  <c r="K827" i="1"/>
  <c r="D468" i="3" s="1"/>
  <c r="K823" i="1"/>
  <c r="D464" i="3" s="1"/>
  <c r="K819" i="1"/>
  <c r="D460" i="3" s="1"/>
  <c r="K815" i="1"/>
  <c r="D456" i="3" s="1"/>
  <c r="K802" i="1"/>
  <c r="G19" i="2" l="1"/>
  <c r="I19" i="2" s="1"/>
  <c r="F940" i="1"/>
  <c r="F23" i="2"/>
  <c r="H20" i="2"/>
  <c r="H480" i="3"/>
  <c r="H447" i="3" s="1"/>
  <c r="K878" i="1"/>
  <c r="D489" i="3" s="1"/>
  <c r="K935" i="1"/>
  <c r="H516" i="3" s="1"/>
  <c r="K931" i="1"/>
  <c r="H512" i="3" s="1"/>
  <c r="K927" i="1"/>
  <c r="H508" i="3" s="1"/>
  <c r="K923" i="1"/>
  <c r="H504" i="3" s="1"/>
  <c r="K919" i="1"/>
  <c r="H500" i="3" s="1"/>
  <c r="K915" i="1"/>
  <c r="H496" i="3" s="1"/>
  <c r="K911" i="1"/>
  <c r="H492" i="3" s="1"/>
  <c r="K907" i="1"/>
  <c r="H488" i="3" s="1"/>
  <c r="K903" i="1"/>
  <c r="D514" i="3" s="1"/>
  <c r="K899" i="1"/>
  <c r="D510" i="3" s="1"/>
  <c r="K895" i="1"/>
  <c r="D506" i="3" s="1"/>
  <c r="K891" i="1"/>
  <c r="D502" i="3" s="1"/>
  <c r="K887" i="1"/>
  <c r="D498" i="3" s="1"/>
  <c r="K883" i="1"/>
  <c r="D494" i="3" s="1"/>
  <c r="K879" i="1"/>
  <c r="D490" i="3" s="1"/>
  <c r="K933" i="1"/>
  <c r="H514" i="3" s="1"/>
  <c r="K929" i="1"/>
  <c r="H510" i="3" s="1"/>
  <c r="K925" i="1"/>
  <c r="H506" i="3" s="1"/>
  <c r="K921" i="1"/>
  <c r="H502" i="3" s="1"/>
  <c r="K917" i="1"/>
  <c r="H498" i="3" s="1"/>
  <c r="K913" i="1"/>
  <c r="H494" i="3" s="1"/>
  <c r="K909" i="1"/>
  <c r="H490" i="3" s="1"/>
  <c r="K905" i="1"/>
  <c r="D516" i="3" s="1"/>
  <c r="K901" i="1"/>
  <c r="D512" i="3" s="1"/>
  <c r="K897" i="1"/>
  <c r="D508" i="3" s="1"/>
  <c r="K893" i="1"/>
  <c r="D504" i="3" s="1"/>
  <c r="K889" i="1"/>
  <c r="D500" i="3" s="1"/>
  <c r="K885" i="1"/>
  <c r="D496" i="3" s="1"/>
  <c r="K881" i="1"/>
  <c r="D492" i="3" s="1"/>
  <c r="K877" i="1"/>
  <c r="D488" i="3" s="1"/>
  <c r="K934" i="1"/>
  <c r="H515" i="3" s="1"/>
  <c r="K930" i="1"/>
  <c r="H511" i="3" s="1"/>
  <c r="K926" i="1"/>
  <c r="H507" i="3" s="1"/>
  <c r="K922" i="1"/>
  <c r="H503" i="3" s="1"/>
  <c r="K918" i="1"/>
  <c r="H499" i="3" s="1"/>
  <c r="K914" i="1"/>
  <c r="H495" i="3" s="1"/>
  <c r="K910" i="1"/>
  <c r="H491" i="3" s="1"/>
  <c r="K906" i="1"/>
  <c r="H487" i="3" s="1"/>
  <c r="K902" i="1"/>
  <c r="D513" i="3" s="1"/>
  <c r="K898" i="1"/>
  <c r="D509" i="3" s="1"/>
  <c r="K894" i="1"/>
  <c r="D505" i="3" s="1"/>
  <c r="K890" i="1"/>
  <c r="D501" i="3" s="1"/>
  <c r="K886" i="1"/>
  <c r="D497" i="3" s="1"/>
  <c r="K882" i="1"/>
  <c r="D493" i="3" s="1"/>
  <c r="K876" i="1"/>
  <c r="D487" i="3" s="1"/>
  <c r="K932" i="1"/>
  <c r="H513" i="3" s="1"/>
  <c r="K928" i="1"/>
  <c r="H509" i="3" s="1"/>
  <c r="K924" i="1"/>
  <c r="H505" i="3" s="1"/>
  <c r="K920" i="1"/>
  <c r="H501" i="3" s="1"/>
  <c r="K916" i="1"/>
  <c r="H497" i="3" s="1"/>
  <c r="K912" i="1"/>
  <c r="H493" i="3" s="1"/>
  <c r="K908" i="1"/>
  <c r="H489" i="3" s="1"/>
  <c r="K904" i="1"/>
  <c r="D515" i="3" s="1"/>
  <c r="K900" i="1"/>
  <c r="D511" i="3" s="1"/>
  <c r="K896" i="1"/>
  <c r="D507" i="3" s="1"/>
  <c r="K892" i="1"/>
  <c r="D503" i="3" s="1"/>
  <c r="K888" i="1"/>
  <c r="D499" i="3" s="1"/>
  <c r="K884" i="1"/>
  <c r="D495" i="3" s="1"/>
  <c r="K880" i="1"/>
  <c r="D491" i="3" s="1"/>
  <c r="K869" i="1"/>
  <c r="G20" i="2" l="1"/>
  <c r="I20" i="2" s="1"/>
  <c r="F1007" i="1"/>
  <c r="F24" i="2"/>
  <c r="H21" i="2"/>
  <c r="H517" i="3"/>
  <c r="H484" i="3" s="1"/>
  <c r="K945" i="1"/>
  <c r="D526" i="3" s="1"/>
  <c r="K1002" i="1"/>
  <c r="H553" i="3" s="1"/>
  <c r="K998" i="1"/>
  <c r="H549" i="3" s="1"/>
  <c r="K994" i="1"/>
  <c r="H545" i="3" s="1"/>
  <c r="K990" i="1"/>
  <c r="H541" i="3" s="1"/>
  <c r="K986" i="1"/>
  <c r="H537" i="3" s="1"/>
  <c r="K982" i="1"/>
  <c r="H533" i="3" s="1"/>
  <c r="K978" i="1"/>
  <c r="H529" i="3" s="1"/>
  <c r="K974" i="1"/>
  <c r="H525" i="3" s="1"/>
  <c r="K970" i="1"/>
  <c r="D551" i="3" s="1"/>
  <c r="K966" i="1"/>
  <c r="D547" i="3" s="1"/>
  <c r="K962" i="1"/>
  <c r="D543" i="3" s="1"/>
  <c r="K958" i="1"/>
  <c r="D539" i="3" s="1"/>
  <c r="K954" i="1"/>
  <c r="D535" i="3" s="1"/>
  <c r="K950" i="1"/>
  <c r="D531" i="3" s="1"/>
  <c r="K946" i="1"/>
  <c r="D527" i="3" s="1"/>
  <c r="K1000" i="1"/>
  <c r="H551" i="3" s="1"/>
  <c r="K996" i="1"/>
  <c r="H547" i="3" s="1"/>
  <c r="K992" i="1"/>
  <c r="H543" i="3" s="1"/>
  <c r="K988" i="1"/>
  <c r="H539" i="3" s="1"/>
  <c r="K984" i="1"/>
  <c r="H535" i="3" s="1"/>
  <c r="K980" i="1"/>
  <c r="H531" i="3" s="1"/>
  <c r="K976" i="1"/>
  <c r="H527" i="3" s="1"/>
  <c r="K972" i="1"/>
  <c r="D553" i="3" s="1"/>
  <c r="K968" i="1"/>
  <c r="D549" i="3" s="1"/>
  <c r="K964" i="1"/>
  <c r="D545" i="3" s="1"/>
  <c r="K960" i="1"/>
  <c r="D541" i="3" s="1"/>
  <c r="K956" i="1"/>
  <c r="D537" i="3" s="1"/>
  <c r="K952" i="1"/>
  <c r="D533" i="3" s="1"/>
  <c r="K948" i="1"/>
  <c r="D529" i="3" s="1"/>
  <c r="K944" i="1"/>
  <c r="D525" i="3" s="1"/>
  <c r="K943" i="1"/>
  <c r="D524" i="3" s="1"/>
  <c r="K999" i="1"/>
  <c r="H550" i="3" s="1"/>
  <c r="K995" i="1"/>
  <c r="H546" i="3" s="1"/>
  <c r="K991" i="1"/>
  <c r="H542" i="3" s="1"/>
  <c r="K987" i="1"/>
  <c r="H538" i="3" s="1"/>
  <c r="K983" i="1"/>
  <c r="H534" i="3" s="1"/>
  <c r="K979" i="1"/>
  <c r="H530" i="3" s="1"/>
  <c r="K975" i="1"/>
  <c r="H526" i="3" s="1"/>
  <c r="K971" i="1"/>
  <c r="D552" i="3" s="1"/>
  <c r="K967" i="1"/>
  <c r="D548" i="3" s="1"/>
  <c r="K963" i="1"/>
  <c r="D544" i="3" s="1"/>
  <c r="K959" i="1"/>
  <c r="D540" i="3" s="1"/>
  <c r="K955" i="1"/>
  <c r="D536" i="3" s="1"/>
  <c r="K951" i="1"/>
  <c r="D532" i="3" s="1"/>
  <c r="K947" i="1"/>
  <c r="D528" i="3" s="1"/>
  <c r="K1001" i="1"/>
  <c r="H552" i="3" s="1"/>
  <c r="K997" i="1"/>
  <c r="H548" i="3" s="1"/>
  <c r="K993" i="1"/>
  <c r="H544" i="3" s="1"/>
  <c r="K989" i="1"/>
  <c r="H540" i="3" s="1"/>
  <c r="K985" i="1"/>
  <c r="H536" i="3" s="1"/>
  <c r="K981" i="1"/>
  <c r="H532" i="3" s="1"/>
  <c r="K977" i="1"/>
  <c r="H528" i="3" s="1"/>
  <c r="K973" i="1"/>
  <c r="H524" i="3" s="1"/>
  <c r="K969" i="1"/>
  <c r="D550" i="3" s="1"/>
  <c r="K965" i="1"/>
  <c r="D546" i="3" s="1"/>
  <c r="K961" i="1"/>
  <c r="D542" i="3" s="1"/>
  <c r="K957" i="1"/>
  <c r="D538" i="3" s="1"/>
  <c r="K953" i="1"/>
  <c r="D534" i="3" s="1"/>
  <c r="K949" i="1"/>
  <c r="D530" i="3" s="1"/>
  <c r="K936" i="1"/>
  <c r="G21" i="2" l="1"/>
  <c r="I21" i="2" s="1"/>
  <c r="F1074" i="1"/>
  <c r="F25" i="2"/>
  <c r="H22" i="2"/>
  <c r="H554" i="3"/>
  <c r="H521" i="3" s="1"/>
  <c r="K1012" i="1"/>
  <c r="D563" i="3" s="1"/>
  <c r="K1069" i="1"/>
  <c r="H590" i="3" s="1"/>
  <c r="K1065" i="1"/>
  <c r="H586" i="3" s="1"/>
  <c r="K1061" i="1"/>
  <c r="H582" i="3" s="1"/>
  <c r="K1057" i="1"/>
  <c r="H578" i="3" s="1"/>
  <c r="K1053" i="1"/>
  <c r="H574" i="3" s="1"/>
  <c r="K1049" i="1"/>
  <c r="H570" i="3" s="1"/>
  <c r="K1045" i="1"/>
  <c r="H566" i="3" s="1"/>
  <c r="K1041" i="1"/>
  <c r="H562" i="3" s="1"/>
  <c r="K1037" i="1"/>
  <c r="D588" i="3" s="1"/>
  <c r="K1033" i="1"/>
  <c r="D584" i="3" s="1"/>
  <c r="K1029" i="1"/>
  <c r="D580" i="3" s="1"/>
  <c r="K1025" i="1"/>
  <c r="D576" i="3" s="1"/>
  <c r="K1021" i="1"/>
  <c r="D572" i="3" s="1"/>
  <c r="K1017" i="1"/>
  <c r="D568" i="3" s="1"/>
  <c r="K1013" i="1"/>
  <c r="D564" i="3" s="1"/>
  <c r="K1068" i="1"/>
  <c r="H589" i="3" s="1"/>
  <c r="K1064" i="1"/>
  <c r="H585" i="3" s="1"/>
  <c r="K1060" i="1"/>
  <c r="H581" i="3" s="1"/>
  <c r="K1056" i="1"/>
  <c r="H577" i="3" s="1"/>
  <c r="K1052" i="1"/>
  <c r="H573" i="3" s="1"/>
  <c r="K1048" i="1"/>
  <c r="H569" i="3" s="1"/>
  <c r="K1044" i="1"/>
  <c r="H565" i="3" s="1"/>
  <c r="K1040" i="1"/>
  <c r="H561" i="3" s="1"/>
  <c r="K1036" i="1"/>
  <c r="D587" i="3" s="1"/>
  <c r="K1032" i="1"/>
  <c r="D583" i="3" s="1"/>
  <c r="K1028" i="1"/>
  <c r="D579" i="3" s="1"/>
  <c r="K1024" i="1"/>
  <c r="D575" i="3" s="1"/>
  <c r="K1020" i="1"/>
  <c r="D571" i="3" s="1"/>
  <c r="K1016" i="1"/>
  <c r="D567" i="3" s="1"/>
  <c r="K1067" i="1"/>
  <c r="H588" i="3" s="1"/>
  <c r="K1063" i="1"/>
  <c r="H584" i="3" s="1"/>
  <c r="K1059" i="1"/>
  <c r="H580" i="3" s="1"/>
  <c r="K1055" i="1"/>
  <c r="H576" i="3" s="1"/>
  <c r="K1051" i="1"/>
  <c r="H572" i="3" s="1"/>
  <c r="K1047" i="1"/>
  <c r="H568" i="3" s="1"/>
  <c r="K1043" i="1"/>
  <c r="H564" i="3" s="1"/>
  <c r="K1039" i="1"/>
  <c r="D590" i="3" s="1"/>
  <c r="K1035" i="1"/>
  <c r="D586" i="3" s="1"/>
  <c r="K1031" i="1"/>
  <c r="D582" i="3" s="1"/>
  <c r="K1027" i="1"/>
  <c r="D578" i="3" s="1"/>
  <c r="K1023" i="1"/>
  <c r="D574" i="3" s="1"/>
  <c r="K1019" i="1"/>
  <c r="D570" i="3" s="1"/>
  <c r="K1015" i="1"/>
  <c r="D566" i="3" s="1"/>
  <c r="K1011" i="1"/>
  <c r="D562" i="3" s="1"/>
  <c r="K1010" i="1"/>
  <c r="D561" i="3" s="1"/>
  <c r="K1066" i="1"/>
  <c r="H587" i="3" s="1"/>
  <c r="K1062" i="1"/>
  <c r="H583" i="3" s="1"/>
  <c r="K1058" i="1"/>
  <c r="H579" i="3" s="1"/>
  <c r="K1054" i="1"/>
  <c r="H575" i="3" s="1"/>
  <c r="K1050" i="1"/>
  <c r="H571" i="3" s="1"/>
  <c r="K1046" i="1"/>
  <c r="H567" i="3" s="1"/>
  <c r="K1042" i="1"/>
  <c r="H563" i="3" s="1"/>
  <c r="K1038" i="1"/>
  <c r="D589" i="3" s="1"/>
  <c r="K1034" i="1"/>
  <c r="D585" i="3" s="1"/>
  <c r="K1030" i="1"/>
  <c r="D581" i="3" s="1"/>
  <c r="K1026" i="1"/>
  <c r="D577" i="3" s="1"/>
  <c r="K1022" i="1"/>
  <c r="D573" i="3" s="1"/>
  <c r="K1018" i="1"/>
  <c r="D569" i="3" s="1"/>
  <c r="K1014" i="1"/>
  <c r="D565" i="3" s="1"/>
  <c r="K1003" i="1"/>
  <c r="G22" i="2" l="1"/>
  <c r="I22" i="2" s="1"/>
  <c r="F1141" i="1"/>
  <c r="F26" i="2"/>
  <c r="H23" i="2"/>
  <c r="H591" i="3"/>
  <c r="H558" i="3" s="1"/>
  <c r="K1079" i="1"/>
  <c r="D600" i="3" s="1"/>
  <c r="K1136" i="1"/>
  <c r="H627" i="3" s="1"/>
  <c r="K1132" i="1"/>
  <c r="H623" i="3" s="1"/>
  <c r="K1128" i="1"/>
  <c r="H619" i="3" s="1"/>
  <c r="K1124" i="1"/>
  <c r="H615" i="3" s="1"/>
  <c r="K1120" i="1"/>
  <c r="H611" i="3" s="1"/>
  <c r="K1116" i="1"/>
  <c r="H607" i="3" s="1"/>
  <c r="K1112" i="1"/>
  <c r="H603" i="3" s="1"/>
  <c r="K1108" i="1"/>
  <c r="H599" i="3" s="1"/>
  <c r="K1104" i="1"/>
  <c r="D625" i="3" s="1"/>
  <c r="K1100" i="1"/>
  <c r="D621" i="3" s="1"/>
  <c r="K1096" i="1"/>
  <c r="D617" i="3" s="1"/>
  <c r="K1092" i="1"/>
  <c r="D613" i="3" s="1"/>
  <c r="K1088" i="1"/>
  <c r="D609" i="3" s="1"/>
  <c r="K1084" i="1"/>
  <c r="D605" i="3" s="1"/>
  <c r="K1080" i="1"/>
  <c r="D601" i="3" s="1"/>
  <c r="K1077" i="1"/>
  <c r="D598" i="3" s="1"/>
  <c r="K1133" i="1"/>
  <c r="H624" i="3" s="1"/>
  <c r="K1129" i="1"/>
  <c r="H620" i="3" s="1"/>
  <c r="K1125" i="1"/>
  <c r="H616" i="3" s="1"/>
  <c r="K1121" i="1"/>
  <c r="H612" i="3" s="1"/>
  <c r="K1117" i="1"/>
  <c r="H608" i="3" s="1"/>
  <c r="K1113" i="1"/>
  <c r="H604" i="3" s="1"/>
  <c r="K1109" i="1"/>
  <c r="H600" i="3" s="1"/>
  <c r="K1105" i="1"/>
  <c r="D626" i="3" s="1"/>
  <c r="K1101" i="1"/>
  <c r="D622" i="3" s="1"/>
  <c r="K1097" i="1"/>
  <c r="D618" i="3" s="1"/>
  <c r="K1093" i="1"/>
  <c r="D614" i="3" s="1"/>
  <c r="K1089" i="1"/>
  <c r="D610" i="3" s="1"/>
  <c r="K1085" i="1"/>
  <c r="D606" i="3" s="1"/>
  <c r="K1081" i="1"/>
  <c r="D602" i="3" s="1"/>
  <c r="K1134" i="1"/>
  <c r="H625" i="3" s="1"/>
  <c r="K1130" i="1"/>
  <c r="H621" i="3" s="1"/>
  <c r="K1126" i="1"/>
  <c r="H617" i="3" s="1"/>
  <c r="K1122" i="1"/>
  <c r="H613" i="3" s="1"/>
  <c r="K1118" i="1"/>
  <c r="H609" i="3" s="1"/>
  <c r="K1114" i="1"/>
  <c r="H605" i="3" s="1"/>
  <c r="K1110" i="1"/>
  <c r="H601" i="3" s="1"/>
  <c r="K1106" i="1"/>
  <c r="D627" i="3" s="1"/>
  <c r="K1102" i="1"/>
  <c r="D623" i="3" s="1"/>
  <c r="K1098" i="1"/>
  <c r="D619" i="3" s="1"/>
  <c r="K1094" i="1"/>
  <c r="D615" i="3" s="1"/>
  <c r="K1090" i="1"/>
  <c r="D611" i="3" s="1"/>
  <c r="K1086" i="1"/>
  <c r="D607" i="3" s="1"/>
  <c r="K1082" i="1"/>
  <c r="D603" i="3" s="1"/>
  <c r="K1078" i="1"/>
  <c r="D599" i="3" s="1"/>
  <c r="K1135" i="1"/>
  <c r="H626" i="3" s="1"/>
  <c r="K1131" i="1"/>
  <c r="H622" i="3" s="1"/>
  <c r="K1127" i="1"/>
  <c r="H618" i="3" s="1"/>
  <c r="K1123" i="1"/>
  <c r="H614" i="3" s="1"/>
  <c r="K1119" i="1"/>
  <c r="H610" i="3" s="1"/>
  <c r="K1115" i="1"/>
  <c r="H606" i="3" s="1"/>
  <c r="K1111" i="1"/>
  <c r="H602" i="3" s="1"/>
  <c r="K1107" i="1"/>
  <c r="H598" i="3" s="1"/>
  <c r="K1103" i="1"/>
  <c r="D624" i="3" s="1"/>
  <c r="K1099" i="1"/>
  <c r="D620" i="3" s="1"/>
  <c r="K1095" i="1"/>
  <c r="D616" i="3" s="1"/>
  <c r="K1091" i="1"/>
  <c r="D612" i="3" s="1"/>
  <c r="K1087" i="1"/>
  <c r="D608" i="3" s="1"/>
  <c r="K1083" i="1"/>
  <c r="D604" i="3" s="1"/>
  <c r="K1070" i="1"/>
  <c r="H24" i="2" s="1"/>
  <c r="G24" i="2" s="1"/>
  <c r="K1155" i="1" l="1"/>
  <c r="D646" i="3" s="1"/>
  <c r="K1154" i="1"/>
  <c r="G23" i="2"/>
  <c r="I23" i="2" s="1"/>
  <c r="F1208" i="1"/>
  <c r="F27" i="2"/>
  <c r="I24" i="2"/>
  <c r="H628" i="3"/>
  <c r="H595" i="3" s="1"/>
  <c r="K1137" i="1"/>
  <c r="H25" i="2" s="1"/>
  <c r="G25" i="2" s="1"/>
  <c r="K1146" i="1"/>
  <c r="D637" i="3" s="1"/>
  <c r="K1203" i="1"/>
  <c r="H664" i="3" s="1"/>
  <c r="K1199" i="1"/>
  <c r="H660" i="3" s="1"/>
  <c r="K1195" i="1"/>
  <c r="H656" i="3" s="1"/>
  <c r="K1191" i="1"/>
  <c r="H652" i="3" s="1"/>
  <c r="K1187" i="1"/>
  <c r="H648" i="3" s="1"/>
  <c r="K1183" i="1"/>
  <c r="H644" i="3" s="1"/>
  <c r="K1179" i="1"/>
  <c r="H640" i="3" s="1"/>
  <c r="K1175" i="1"/>
  <c r="H636" i="3" s="1"/>
  <c r="K1171" i="1"/>
  <c r="D662" i="3" s="1"/>
  <c r="K1167" i="1"/>
  <c r="D658" i="3" s="1"/>
  <c r="K1163" i="1"/>
  <c r="D654" i="3" s="1"/>
  <c r="K1159" i="1"/>
  <c r="D650" i="3" s="1"/>
  <c r="K1151" i="1"/>
  <c r="D642" i="3" s="1"/>
  <c r="K1147" i="1"/>
  <c r="D638" i="3" s="1"/>
  <c r="K1202" i="1"/>
  <c r="H663" i="3" s="1"/>
  <c r="K1198" i="1"/>
  <c r="H659" i="3" s="1"/>
  <c r="K1194" i="1"/>
  <c r="H655" i="3" s="1"/>
  <c r="K1190" i="1"/>
  <c r="H651" i="3" s="1"/>
  <c r="K1186" i="1"/>
  <c r="H647" i="3" s="1"/>
  <c r="K1182" i="1"/>
  <c r="H643" i="3" s="1"/>
  <c r="K1178" i="1"/>
  <c r="H639" i="3" s="1"/>
  <c r="K1174" i="1"/>
  <c r="H635" i="3" s="1"/>
  <c r="K1170" i="1"/>
  <c r="D661" i="3" s="1"/>
  <c r="K1166" i="1"/>
  <c r="D657" i="3" s="1"/>
  <c r="K1162" i="1"/>
  <c r="D653" i="3" s="1"/>
  <c r="K1158" i="1"/>
  <c r="D649" i="3" s="1"/>
  <c r="D645" i="3"/>
  <c r="K1150" i="1"/>
  <c r="D641" i="3" s="1"/>
  <c r="K1201" i="1"/>
  <c r="H662" i="3" s="1"/>
  <c r="K1197" i="1"/>
  <c r="H658" i="3" s="1"/>
  <c r="K1193" i="1"/>
  <c r="H654" i="3" s="1"/>
  <c r="K1189" i="1"/>
  <c r="H650" i="3" s="1"/>
  <c r="K1185" i="1"/>
  <c r="H646" i="3" s="1"/>
  <c r="K1181" i="1"/>
  <c r="H642" i="3" s="1"/>
  <c r="K1177" i="1"/>
  <c r="H638" i="3" s="1"/>
  <c r="K1173" i="1"/>
  <c r="D664" i="3" s="1"/>
  <c r="K1169" i="1"/>
  <c r="D660" i="3" s="1"/>
  <c r="K1165" i="1"/>
  <c r="D656" i="3" s="1"/>
  <c r="K1161" i="1"/>
  <c r="D652" i="3" s="1"/>
  <c r="K1157" i="1"/>
  <c r="D648" i="3" s="1"/>
  <c r="K1153" i="1"/>
  <c r="D644" i="3" s="1"/>
  <c r="K1149" i="1"/>
  <c r="D640" i="3" s="1"/>
  <c r="K1145" i="1"/>
  <c r="D636" i="3" s="1"/>
  <c r="K1144" i="1"/>
  <c r="D635" i="3" s="1"/>
  <c r="K1200" i="1"/>
  <c r="H661" i="3" s="1"/>
  <c r="K1196" i="1"/>
  <c r="H657" i="3" s="1"/>
  <c r="K1192" i="1"/>
  <c r="H653" i="3" s="1"/>
  <c r="K1188" i="1"/>
  <c r="H649" i="3" s="1"/>
  <c r="K1184" i="1"/>
  <c r="H645" i="3" s="1"/>
  <c r="K1180" i="1"/>
  <c r="H641" i="3" s="1"/>
  <c r="K1176" i="1"/>
  <c r="H637" i="3" s="1"/>
  <c r="K1172" i="1"/>
  <c r="D663" i="3" s="1"/>
  <c r="K1168" i="1"/>
  <c r="D659" i="3" s="1"/>
  <c r="K1164" i="1"/>
  <c r="D655" i="3" s="1"/>
  <c r="K1160" i="1"/>
  <c r="D651" i="3" s="1"/>
  <c r="K1156" i="1"/>
  <c r="D647" i="3" s="1"/>
  <c r="K1152" i="1"/>
  <c r="D643" i="3" s="1"/>
  <c r="K1148" i="1"/>
  <c r="D639" i="3" s="1"/>
  <c r="F1275" i="1" l="1"/>
  <c r="F28" i="2"/>
  <c r="I25" i="2"/>
  <c r="H665" i="3"/>
  <c r="H632" i="3" s="1"/>
  <c r="K1204" i="1"/>
  <c r="H26" i="2" s="1"/>
  <c r="G26" i="2" s="1"/>
  <c r="K1213" i="1"/>
  <c r="D674" i="3" s="1"/>
  <c r="K1270" i="1"/>
  <c r="H701" i="3" s="1"/>
  <c r="K1266" i="1"/>
  <c r="H697" i="3" s="1"/>
  <c r="K1262" i="1"/>
  <c r="H693" i="3" s="1"/>
  <c r="K1258" i="1"/>
  <c r="H689" i="3" s="1"/>
  <c r="K1254" i="1"/>
  <c r="H685" i="3" s="1"/>
  <c r="K1250" i="1"/>
  <c r="H681" i="3" s="1"/>
  <c r="K1246" i="1"/>
  <c r="H677" i="3" s="1"/>
  <c r="K1242" i="1"/>
  <c r="H673" i="3" s="1"/>
  <c r="K1238" i="1"/>
  <c r="D699" i="3" s="1"/>
  <c r="K1234" i="1"/>
  <c r="D695" i="3" s="1"/>
  <c r="K1230" i="1"/>
  <c r="D691" i="3" s="1"/>
  <c r="K1226" i="1"/>
  <c r="D687" i="3" s="1"/>
  <c r="K1222" i="1"/>
  <c r="D683" i="3" s="1"/>
  <c r="K1218" i="1"/>
  <c r="D679" i="3" s="1"/>
  <c r="K1214" i="1"/>
  <c r="D675" i="3" s="1"/>
  <c r="K1211" i="1"/>
  <c r="D672" i="3" s="1"/>
  <c r="K1267" i="1"/>
  <c r="H698" i="3" s="1"/>
  <c r="K1263" i="1"/>
  <c r="H694" i="3" s="1"/>
  <c r="K1259" i="1"/>
  <c r="H690" i="3" s="1"/>
  <c r="K1255" i="1"/>
  <c r="H686" i="3" s="1"/>
  <c r="K1251" i="1"/>
  <c r="H682" i="3" s="1"/>
  <c r="K1247" i="1"/>
  <c r="H678" i="3" s="1"/>
  <c r="K1243" i="1"/>
  <c r="H674" i="3" s="1"/>
  <c r="K1239" i="1"/>
  <c r="D700" i="3" s="1"/>
  <c r="K1235" i="1"/>
  <c r="D696" i="3" s="1"/>
  <c r="K1231" i="1"/>
  <c r="D692" i="3" s="1"/>
  <c r="K1227" i="1"/>
  <c r="D688" i="3" s="1"/>
  <c r="K1223" i="1"/>
  <c r="D684" i="3" s="1"/>
  <c r="K1219" i="1"/>
  <c r="D680" i="3" s="1"/>
  <c r="K1215" i="1"/>
  <c r="D676" i="3" s="1"/>
  <c r="K1268" i="1"/>
  <c r="H699" i="3" s="1"/>
  <c r="K1264" i="1"/>
  <c r="H695" i="3" s="1"/>
  <c r="K1260" i="1"/>
  <c r="H691" i="3" s="1"/>
  <c r="K1256" i="1"/>
  <c r="H687" i="3" s="1"/>
  <c r="K1252" i="1"/>
  <c r="H683" i="3" s="1"/>
  <c r="K1248" i="1"/>
  <c r="H679" i="3" s="1"/>
  <c r="K1244" i="1"/>
  <c r="H675" i="3" s="1"/>
  <c r="K1240" i="1"/>
  <c r="D701" i="3" s="1"/>
  <c r="K1236" i="1"/>
  <c r="D697" i="3" s="1"/>
  <c r="K1232" i="1"/>
  <c r="D693" i="3" s="1"/>
  <c r="K1228" i="1"/>
  <c r="D689" i="3" s="1"/>
  <c r="K1224" i="1"/>
  <c r="D685" i="3" s="1"/>
  <c r="K1220" i="1"/>
  <c r="D681" i="3" s="1"/>
  <c r="K1216" i="1"/>
  <c r="D677" i="3" s="1"/>
  <c r="K1212" i="1"/>
  <c r="D673" i="3" s="1"/>
  <c r="K1269" i="1"/>
  <c r="H700" i="3" s="1"/>
  <c r="K1265" i="1"/>
  <c r="H696" i="3" s="1"/>
  <c r="K1261" i="1"/>
  <c r="H692" i="3" s="1"/>
  <c r="K1257" i="1"/>
  <c r="H688" i="3" s="1"/>
  <c r="K1253" i="1"/>
  <c r="H684" i="3" s="1"/>
  <c r="K1249" i="1"/>
  <c r="H680" i="3" s="1"/>
  <c r="K1245" i="1"/>
  <c r="H676" i="3" s="1"/>
  <c r="K1241" i="1"/>
  <c r="H672" i="3" s="1"/>
  <c r="K1237" i="1"/>
  <c r="D698" i="3" s="1"/>
  <c r="K1233" i="1"/>
  <c r="D694" i="3" s="1"/>
  <c r="K1229" i="1"/>
  <c r="D690" i="3" s="1"/>
  <c r="K1225" i="1"/>
  <c r="D686" i="3" s="1"/>
  <c r="K1221" i="1"/>
  <c r="D682" i="3" s="1"/>
  <c r="K1217" i="1"/>
  <c r="D678" i="3" s="1"/>
  <c r="F1342" i="1" l="1"/>
  <c r="F29" i="2"/>
  <c r="I26" i="2"/>
  <c r="H702" i="3"/>
  <c r="H669" i="3" s="1"/>
  <c r="K1280" i="1"/>
  <c r="D711" i="3" s="1"/>
  <c r="K1337" i="1"/>
  <c r="H738" i="3" s="1"/>
  <c r="K1333" i="1"/>
  <c r="H734" i="3" s="1"/>
  <c r="K1329" i="1"/>
  <c r="H730" i="3" s="1"/>
  <c r="K1325" i="1"/>
  <c r="H726" i="3" s="1"/>
  <c r="K1321" i="1"/>
  <c r="H722" i="3" s="1"/>
  <c r="K1317" i="1"/>
  <c r="H718" i="3" s="1"/>
  <c r="K1313" i="1"/>
  <c r="H714" i="3" s="1"/>
  <c r="K1309" i="1"/>
  <c r="H710" i="3" s="1"/>
  <c r="K1305" i="1"/>
  <c r="D736" i="3" s="1"/>
  <c r="K1301" i="1"/>
  <c r="D732" i="3" s="1"/>
  <c r="K1297" i="1"/>
  <c r="D728" i="3" s="1"/>
  <c r="K1293" i="1"/>
  <c r="D724" i="3" s="1"/>
  <c r="K1289" i="1"/>
  <c r="D720" i="3" s="1"/>
  <c r="K1285" i="1"/>
  <c r="D716" i="3" s="1"/>
  <c r="K1281" i="1"/>
  <c r="D712" i="3" s="1"/>
  <c r="K1336" i="1"/>
  <c r="H737" i="3" s="1"/>
  <c r="K1332" i="1"/>
  <c r="H733" i="3" s="1"/>
  <c r="K1328" i="1"/>
  <c r="H729" i="3" s="1"/>
  <c r="K1324" i="1"/>
  <c r="H725" i="3" s="1"/>
  <c r="K1320" i="1"/>
  <c r="H721" i="3" s="1"/>
  <c r="K1316" i="1"/>
  <c r="H717" i="3" s="1"/>
  <c r="K1312" i="1"/>
  <c r="H713" i="3" s="1"/>
  <c r="K1308" i="1"/>
  <c r="H709" i="3" s="1"/>
  <c r="K1304" i="1"/>
  <c r="D735" i="3" s="1"/>
  <c r="K1300" i="1"/>
  <c r="D731" i="3" s="1"/>
  <c r="K1296" i="1"/>
  <c r="D727" i="3" s="1"/>
  <c r="K1292" i="1"/>
  <c r="D723" i="3" s="1"/>
  <c r="K1288" i="1"/>
  <c r="D719" i="3" s="1"/>
  <c r="K1284" i="1"/>
  <c r="D715" i="3" s="1"/>
  <c r="K1335" i="1"/>
  <c r="H736" i="3" s="1"/>
  <c r="K1331" i="1"/>
  <c r="H732" i="3" s="1"/>
  <c r="K1327" i="1"/>
  <c r="H728" i="3" s="1"/>
  <c r="K1323" i="1"/>
  <c r="H724" i="3" s="1"/>
  <c r="K1319" i="1"/>
  <c r="H720" i="3" s="1"/>
  <c r="K1315" i="1"/>
  <c r="H716" i="3" s="1"/>
  <c r="K1311" i="1"/>
  <c r="H712" i="3" s="1"/>
  <c r="K1307" i="1"/>
  <c r="D738" i="3" s="1"/>
  <c r="K1303" i="1"/>
  <c r="D734" i="3" s="1"/>
  <c r="K1299" i="1"/>
  <c r="D730" i="3" s="1"/>
  <c r="K1295" i="1"/>
  <c r="D726" i="3" s="1"/>
  <c r="K1291" i="1"/>
  <c r="D722" i="3" s="1"/>
  <c r="K1287" i="1"/>
  <c r="D718" i="3" s="1"/>
  <c r="K1283" i="1"/>
  <c r="D714" i="3" s="1"/>
  <c r="K1279" i="1"/>
  <c r="D710" i="3" s="1"/>
  <c r="K1278" i="1"/>
  <c r="D709" i="3" s="1"/>
  <c r="K1334" i="1"/>
  <c r="H735" i="3" s="1"/>
  <c r="K1330" i="1"/>
  <c r="H731" i="3" s="1"/>
  <c r="K1326" i="1"/>
  <c r="H727" i="3" s="1"/>
  <c r="K1322" i="1"/>
  <c r="H723" i="3" s="1"/>
  <c r="K1318" i="1"/>
  <c r="H719" i="3" s="1"/>
  <c r="K1314" i="1"/>
  <c r="H715" i="3" s="1"/>
  <c r="K1310" i="1"/>
  <c r="H711" i="3" s="1"/>
  <c r="K1306" i="1"/>
  <c r="D737" i="3" s="1"/>
  <c r="K1302" i="1"/>
  <c r="D733" i="3" s="1"/>
  <c r="K1298" i="1"/>
  <c r="D729" i="3" s="1"/>
  <c r="K1294" i="1"/>
  <c r="D725" i="3" s="1"/>
  <c r="K1290" i="1"/>
  <c r="D721" i="3" s="1"/>
  <c r="K1286" i="1"/>
  <c r="D717" i="3" s="1"/>
  <c r="K1282" i="1"/>
  <c r="D713" i="3" s="1"/>
  <c r="K1271" i="1"/>
  <c r="H27" i="2" s="1"/>
  <c r="G27" i="2" s="1"/>
  <c r="F1409" i="1" l="1"/>
  <c r="K1425" i="1" s="1"/>
  <c r="F30" i="2"/>
  <c r="F39" i="2" s="1"/>
  <c r="I27" i="2"/>
  <c r="H739" i="3"/>
  <c r="H706" i="3" s="1"/>
  <c r="K1347" i="1"/>
  <c r="D748" i="3" s="1"/>
  <c r="K1404" i="1"/>
  <c r="H775" i="3" s="1"/>
  <c r="K1400" i="1"/>
  <c r="H771" i="3" s="1"/>
  <c r="K1396" i="1"/>
  <c r="H767" i="3" s="1"/>
  <c r="K1392" i="1"/>
  <c r="H763" i="3" s="1"/>
  <c r="K1388" i="1"/>
  <c r="H759" i="3" s="1"/>
  <c r="K1384" i="1"/>
  <c r="H755" i="3" s="1"/>
  <c r="K1380" i="1"/>
  <c r="H751" i="3" s="1"/>
  <c r="K1376" i="1"/>
  <c r="H747" i="3" s="1"/>
  <c r="K1372" i="1"/>
  <c r="D773" i="3" s="1"/>
  <c r="K1368" i="1"/>
  <c r="D769" i="3" s="1"/>
  <c r="K1364" i="1"/>
  <c r="D765" i="3" s="1"/>
  <c r="K1360" i="1"/>
  <c r="D761" i="3" s="1"/>
  <c r="K1356" i="1"/>
  <c r="D757" i="3" s="1"/>
  <c r="K1352" i="1"/>
  <c r="D753" i="3" s="1"/>
  <c r="K1348" i="1"/>
  <c r="D749" i="3" s="1"/>
  <c r="K1345" i="1"/>
  <c r="D746" i="3" s="1"/>
  <c r="K1401" i="1"/>
  <c r="H772" i="3" s="1"/>
  <c r="K1397" i="1"/>
  <c r="H768" i="3" s="1"/>
  <c r="K1393" i="1"/>
  <c r="H764" i="3" s="1"/>
  <c r="K1389" i="1"/>
  <c r="H760" i="3" s="1"/>
  <c r="K1385" i="1"/>
  <c r="H756" i="3" s="1"/>
  <c r="K1381" i="1"/>
  <c r="H752" i="3" s="1"/>
  <c r="K1377" i="1"/>
  <c r="H748" i="3" s="1"/>
  <c r="K1373" i="1"/>
  <c r="D774" i="3" s="1"/>
  <c r="K1369" i="1"/>
  <c r="D770" i="3" s="1"/>
  <c r="K1365" i="1"/>
  <c r="D766" i="3" s="1"/>
  <c r="K1361" i="1"/>
  <c r="D762" i="3" s="1"/>
  <c r="K1357" i="1"/>
  <c r="D758" i="3" s="1"/>
  <c r="K1353" i="1"/>
  <c r="D754" i="3" s="1"/>
  <c r="K1349" i="1"/>
  <c r="D750" i="3" s="1"/>
  <c r="K1402" i="1"/>
  <c r="H773" i="3" s="1"/>
  <c r="K1398" i="1"/>
  <c r="H769" i="3" s="1"/>
  <c r="K1394" i="1"/>
  <c r="H765" i="3" s="1"/>
  <c r="K1390" i="1"/>
  <c r="H761" i="3" s="1"/>
  <c r="K1386" i="1"/>
  <c r="H757" i="3" s="1"/>
  <c r="K1382" i="1"/>
  <c r="H753" i="3" s="1"/>
  <c r="K1378" i="1"/>
  <c r="H749" i="3" s="1"/>
  <c r="K1374" i="1"/>
  <c r="D775" i="3" s="1"/>
  <c r="K1370" i="1"/>
  <c r="D771" i="3" s="1"/>
  <c r="K1366" i="1"/>
  <c r="D767" i="3" s="1"/>
  <c r="K1362" i="1"/>
  <c r="D763" i="3" s="1"/>
  <c r="K1358" i="1"/>
  <c r="D759" i="3" s="1"/>
  <c r="K1354" i="1"/>
  <c r="D755" i="3" s="1"/>
  <c r="K1350" i="1"/>
  <c r="D751" i="3" s="1"/>
  <c r="K1346" i="1"/>
  <c r="D747" i="3" s="1"/>
  <c r="K1403" i="1"/>
  <c r="H774" i="3" s="1"/>
  <c r="K1399" i="1"/>
  <c r="H770" i="3" s="1"/>
  <c r="K1395" i="1"/>
  <c r="H766" i="3" s="1"/>
  <c r="K1391" i="1"/>
  <c r="H762" i="3" s="1"/>
  <c r="K1387" i="1"/>
  <c r="H758" i="3" s="1"/>
  <c r="K1383" i="1"/>
  <c r="H754" i="3" s="1"/>
  <c r="K1379" i="1"/>
  <c r="H750" i="3" s="1"/>
  <c r="K1375" i="1"/>
  <c r="H746" i="3" s="1"/>
  <c r="K1371" i="1"/>
  <c r="D772" i="3" s="1"/>
  <c r="K1367" i="1"/>
  <c r="D768" i="3" s="1"/>
  <c r="K1363" i="1"/>
  <c r="D764" i="3" s="1"/>
  <c r="K1359" i="1"/>
  <c r="D760" i="3" s="1"/>
  <c r="K1355" i="1"/>
  <c r="D756" i="3" s="1"/>
  <c r="K1351" i="1"/>
  <c r="D752" i="3" s="1"/>
  <c r="K1338" i="1"/>
  <c r="H28" i="2" s="1"/>
  <c r="G28" i="2" s="1"/>
  <c r="F1477" i="1" l="1"/>
  <c r="I28" i="2"/>
  <c r="H776" i="3"/>
  <c r="H743" i="3" s="1"/>
  <c r="K1405" i="1"/>
  <c r="H29" i="2" s="1"/>
  <c r="G29" i="2" s="1"/>
  <c r="K1414" i="1"/>
  <c r="D785" i="3" s="1"/>
  <c r="K1418" i="1"/>
  <c r="D789" i="3" s="1"/>
  <c r="K1422" i="1"/>
  <c r="D793" i="3" s="1"/>
  <c r="K1427" i="1"/>
  <c r="D797" i="3" s="1"/>
  <c r="K1431" i="1"/>
  <c r="D801" i="3" s="1"/>
  <c r="K1435" i="1"/>
  <c r="D805" i="3" s="1"/>
  <c r="K1439" i="1"/>
  <c r="D809" i="3" s="1"/>
  <c r="K1443" i="1"/>
  <c r="H783" i="3" s="1"/>
  <c r="K1413" i="1"/>
  <c r="D784" i="3" s="1"/>
  <c r="K1417" i="1"/>
  <c r="D788" i="3" s="1"/>
  <c r="K1421" i="1"/>
  <c r="D792" i="3" s="1"/>
  <c r="K1426" i="1"/>
  <c r="D796" i="3" s="1"/>
  <c r="K1430" i="1"/>
  <c r="D800" i="3" s="1"/>
  <c r="K1434" i="1"/>
  <c r="D804" i="3" s="1"/>
  <c r="K1438" i="1"/>
  <c r="D808" i="3" s="1"/>
  <c r="K1442" i="1"/>
  <c r="D812" i="3" s="1"/>
  <c r="K1446" i="1"/>
  <c r="H786" i="3" s="1"/>
  <c r="K1416" i="1"/>
  <c r="D787" i="3" s="1"/>
  <c r="K1420" i="1"/>
  <c r="D791" i="3" s="1"/>
  <c r="K1424" i="1"/>
  <c r="D795" i="3" s="1"/>
  <c r="K1429" i="1"/>
  <c r="D799" i="3" s="1"/>
  <c r="K1433" i="1"/>
  <c r="D803" i="3" s="1"/>
  <c r="K1437" i="1"/>
  <c r="D807" i="3" s="1"/>
  <c r="K1441" i="1"/>
  <c r="D811" i="3" s="1"/>
  <c r="K1445" i="1"/>
  <c r="H785" i="3" s="1"/>
  <c r="K1415" i="1"/>
  <c r="D786" i="3" s="1"/>
  <c r="K1419" i="1"/>
  <c r="D790" i="3" s="1"/>
  <c r="K1423" i="1"/>
  <c r="D794" i="3" s="1"/>
  <c r="K1428" i="1"/>
  <c r="D798" i="3" s="1"/>
  <c r="K1432" i="1"/>
  <c r="D802" i="3" s="1"/>
  <c r="K1436" i="1"/>
  <c r="D806" i="3" s="1"/>
  <c r="K1440" i="1"/>
  <c r="D810" i="3" s="1"/>
  <c r="K1444" i="1"/>
  <c r="H784" i="3" s="1"/>
  <c r="K1448" i="1"/>
  <c r="H788" i="3" s="1"/>
  <c r="K1472" i="1"/>
  <c r="H812" i="3" s="1"/>
  <c r="K1468" i="1"/>
  <c r="H808" i="3" s="1"/>
  <c r="K1464" i="1"/>
  <c r="H804" i="3" s="1"/>
  <c r="K1460" i="1"/>
  <c r="H800" i="3" s="1"/>
  <c r="K1456" i="1"/>
  <c r="H796" i="3" s="1"/>
  <c r="K1452" i="1"/>
  <c r="H792" i="3" s="1"/>
  <c r="K1447" i="1"/>
  <c r="H787" i="3" s="1"/>
  <c r="K1471" i="1"/>
  <c r="H811" i="3" s="1"/>
  <c r="K1467" i="1"/>
  <c r="H807" i="3" s="1"/>
  <c r="K1463" i="1"/>
  <c r="H803" i="3" s="1"/>
  <c r="K1459" i="1"/>
  <c r="H799" i="3" s="1"/>
  <c r="K1455" i="1"/>
  <c r="H795" i="3" s="1"/>
  <c r="K1451" i="1"/>
  <c r="H791" i="3" s="1"/>
  <c r="K1470" i="1"/>
  <c r="H810" i="3" s="1"/>
  <c r="K1466" i="1"/>
  <c r="H806" i="3" s="1"/>
  <c r="K1462" i="1"/>
  <c r="H802" i="3" s="1"/>
  <c r="K1458" i="1"/>
  <c r="H798" i="3" s="1"/>
  <c r="K1454" i="1"/>
  <c r="H794" i="3" s="1"/>
  <c r="K1450" i="1"/>
  <c r="H790" i="3" s="1"/>
  <c r="K1412" i="1"/>
  <c r="D783" i="3" s="1"/>
  <c r="K1469" i="1"/>
  <c r="H809" i="3" s="1"/>
  <c r="K1465" i="1"/>
  <c r="H805" i="3" s="1"/>
  <c r="K1461" i="1"/>
  <c r="H801" i="3" s="1"/>
  <c r="K1457" i="1"/>
  <c r="H797" i="3" s="1"/>
  <c r="K1453" i="1"/>
  <c r="H793" i="3" s="1"/>
  <c r="K1449" i="1"/>
  <c r="H789" i="3" s="1"/>
  <c r="F1544" i="1" l="1"/>
  <c r="I29" i="2"/>
  <c r="H813" i="3"/>
  <c r="H780" i="3" s="1"/>
  <c r="K1482" i="1"/>
  <c r="D822" i="3" s="1"/>
  <c r="K1539" i="1"/>
  <c r="H849" i="3" s="1"/>
  <c r="K1535" i="1"/>
  <c r="H845" i="3" s="1"/>
  <c r="K1531" i="1"/>
  <c r="H841" i="3" s="1"/>
  <c r="K1527" i="1"/>
  <c r="H837" i="3" s="1"/>
  <c r="K1523" i="1"/>
  <c r="H833" i="3" s="1"/>
  <c r="K1519" i="1"/>
  <c r="H829" i="3" s="1"/>
  <c r="K1515" i="1"/>
  <c r="H825" i="3" s="1"/>
  <c r="K1511" i="1"/>
  <c r="H821" i="3" s="1"/>
  <c r="K1507" i="1"/>
  <c r="D847" i="3" s="1"/>
  <c r="K1503" i="1"/>
  <c r="D843" i="3" s="1"/>
  <c r="K1499" i="1"/>
  <c r="D839" i="3" s="1"/>
  <c r="K1495" i="1"/>
  <c r="D835" i="3" s="1"/>
  <c r="K1491" i="1"/>
  <c r="D831" i="3" s="1"/>
  <c r="K1487" i="1"/>
  <c r="D827" i="3" s="1"/>
  <c r="K1483" i="1"/>
  <c r="D823" i="3" s="1"/>
  <c r="K1480" i="1"/>
  <c r="D820" i="3" s="1"/>
  <c r="K1536" i="1"/>
  <c r="H846" i="3" s="1"/>
  <c r="K1532" i="1"/>
  <c r="H842" i="3" s="1"/>
  <c r="K1528" i="1"/>
  <c r="H838" i="3" s="1"/>
  <c r="K1524" i="1"/>
  <c r="H834" i="3" s="1"/>
  <c r="K1520" i="1"/>
  <c r="H830" i="3" s="1"/>
  <c r="K1516" i="1"/>
  <c r="H826" i="3" s="1"/>
  <c r="K1512" i="1"/>
  <c r="H822" i="3" s="1"/>
  <c r="K1508" i="1"/>
  <c r="D848" i="3" s="1"/>
  <c r="K1504" i="1"/>
  <c r="D844" i="3" s="1"/>
  <c r="K1500" i="1"/>
  <c r="D840" i="3" s="1"/>
  <c r="K1496" i="1"/>
  <c r="D836" i="3" s="1"/>
  <c r="K1492" i="1"/>
  <c r="D832" i="3" s="1"/>
  <c r="K1488" i="1"/>
  <c r="D828" i="3" s="1"/>
  <c r="K1484" i="1"/>
  <c r="D824" i="3" s="1"/>
  <c r="K1537" i="1"/>
  <c r="H847" i="3" s="1"/>
  <c r="K1533" i="1"/>
  <c r="H843" i="3" s="1"/>
  <c r="K1529" i="1"/>
  <c r="H839" i="3" s="1"/>
  <c r="K1525" i="1"/>
  <c r="H835" i="3" s="1"/>
  <c r="K1521" i="1"/>
  <c r="H831" i="3" s="1"/>
  <c r="K1517" i="1"/>
  <c r="H827" i="3" s="1"/>
  <c r="K1513" i="1"/>
  <c r="H823" i="3" s="1"/>
  <c r="K1509" i="1"/>
  <c r="D849" i="3" s="1"/>
  <c r="K1505" i="1"/>
  <c r="D845" i="3" s="1"/>
  <c r="K1501" i="1"/>
  <c r="D841" i="3" s="1"/>
  <c r="K1497" i="1"/>
  <c r="D837" i="3" s="1"/>
  <c r="K1493" i="1"/>
  <c r="D833" i="3" s="1"/>
  <c r="K1489" i="1"/>
  <c r="D829" i="3" s="1"/>
  <c r="K1485" i="1"/>
  <c r="D825" i="3" s="1"/>
  <c r="K1481" i="1"/>
  <c r="D821" i="3" s="1"/>
  <c r="K1538" i="1"/>
  <c r="H848" i="3" s="1"/>
  <c r="K1534" i="1"/>
  <c r="H844" i="3" s="1"/>
  <c r="K1530" i="1"/>
  <c r="H840" i="3" s="1"/>
  <c r="K1526" i="1"/>
  <c r="H836" i="3" s="1"/>
  <c r="K1522" i="1"/>
  <c r="H832" i="3" s="1"/>
  <c r="K1518" i="1"/>
  <c r="H828" i="3" s="1"/>
  <c r="K1514" i="1"/>
  <c r="H824" i="3" s="1"/>
  <c r="K1510" i="1"/>
  <c r="H820" i="3" s="1"/>
  <c r="K1506" i="1"/>
  <c r="D846" i="3" s="1"/>
  <c r="K1502" i="1"/>
  <c r="D842" i="3" s="1"/>
  <c r="K1498" i="1"/>
  <c r="D838" i="3" s="1"/>
  <c r="K1494" i="1"/>
  <c r="D834" i="3" s="1"/>
  <c r="K1490" i="1"/>
  <c r="D830" i="3" s="1"/>
  <c r="K1486" i="1"/>
  <c r="D826" i="3" s="1"/>
  <c r="K1473" i="1"/>
  <c r="H30" i="2" s="1"/>
  <c r="G30" i="2" s="1"/>
  <c r="F1611" i="1" l="1"/>
  <c r="I30" i="2"/>
  <c r="H850" i="3"/>
  <c r="H817" i="3" s="1"/>
  <c r="K1540" i="1"/>
  <c r="H31" i="2" s="1"/>
  <c r="G31" i="2" s="1"/>
  <c r="I31" i="2" s="1"/>
  <c r="K1549" i="1"/>
  <c r="D859" i="3" s="1"/>
  <c r="K1606" i="1"/>
  <c r="H886" i="3" s="1"/>
  <c r="K1602" i="1"/>
  <c r="H882" i="3" s="1"/>
  <c r="K1598" i="1"/>
  <c r="H878" i="3" s="1"/>
  <c r="K1594" i="1"/>
  <c r="H874" i="3" s="1"/>
  <c r="K1590" i="1"/>
  <c r="H870" i="3" s="1"/>
  <c r="K1586" i="1"/>
  <c r="H866" i="3" s="1"/>
  <c r="K1582" i="1"/>
  <c r="H862" i="3" s="1"/>
  <c r="K1578" i="1"/>
  <c r="H858" i="3" s="1"/>
  <c r="K1574" i="1"/>
  <c r="D884" i="3" s="1"/>
  <c r="K1570" i="1"/>
  <c r="D880" i="3" s="1"/>
  <c r="K1566" i="1"/>
  <c r="D876" i="3" s="1"/>
  <c r="K1562" i="1"/>
  <c r="D872" i="3" s="1"/>
  <c r="K1558" i="1"/>
  <c r="D868" i="3" s="1"/>
  <c r="K1554" i="1"/>
  <c r="D864" i="3" s="1"/>
  <c r="K1550" i="1"/>
  <c r="D860" i="3" s="1"/>
  <c r="K1605" i="1"/>
  <c r="H885" i="3" s="1"/>
  <c r="K1601" i="1"/>
  <c r="H881" i="3" s="1"/>
  <c r="K1597" i="1"/>
  <c r="H877" i="3" s="1"/>
  <c r="K1593" i="1"/>
  <c r="H873" i="3" s="1"/>
  <c r="K1589" i="1"/>
  <c r="H869" i="3" s="1"/>
  <c r="K1585" i="1"/>
  <c r="H865" i="3" s="1"/>
  <c r="K1581" i="1"/>
  <c r="H861" i="3" s="1"/>
  <c r="K1577" i="1"/>
  <c r="H857" i="3" s="1"/>
  <c r="K1573" i="1"/>
  <c r="D883" i="3" s="1"/>
  <c r="K1569" i="1"/>
  <c r="D879" i="3" s="1"/>
  <c r="K1565" i="1"/>
  <c r="D875" i="3" s="1"/>
  <c r="K1561" i="1"/>
  <c r="D871" i="3" s="1"/>
  <c r="K1557" i="1"/>
  <c r="D867" i="3" s="1"/>
  <c r="K1553" i="1"/>
  <c r="D863" i="3" s="1"/>
  <c r="K1604" i="1"/>
  <c r="H884" i="3" s="1"/>
  <c r="K1600" i="1"/>
  <c r="H880" i="3" s="1"/>
  <c r="K1596" i="1"/>
  <c r="H876" i="3" s="1"/>
  <c r="K1592" i="1"/>
  <c r="H872" i="3" s="1"/>
  <c r="K1588" i="1"/>
  <c r="H868" i="3" s="1"/>
  <c r="K1584" i="1"/>
  <c r="H864" i="3" s="1"/>
  <c r="K1580" i="1"/>
  <c r="H860" i="3" s="1"/>
  <c r="K1576" i="1"/>
  <c r="D886" i="3" s="1"/>
  <c r="K1572" i="1"/>
  <c r="D882" i="3" s="1"/>
  <c r="K1568" i="1"/>
  <c r="D878" i="3" s="1"/>
  <c r="K1564" i="1"/>
  <c r="D874" i="3" s="1"/>
  <c r="K1560" i="1"/>
  <c r="D870" i="3" s="1"/>
  <c r="K1556" i="1"/>
  <c r="D866" i="3" s="1"/>
  <c r="K1552" i="1"/>
  <c r="D862" i="3" s="1"/>
  <c r="K1548" i="1"/>
  <c r="D858" i="3" s="1"/>
  <c r="K1547" i="1"/>
  <c r="D857" i="3" s="1"/>
  <c r="K1603" i="1"/>
  <c r="H883" i="3" s="1"/>
  <c r="K1599" i="1"/>
  <c r="H879" i="3" s="1"/>
  <c r="K1595" i="1"/>
  <c r="H875" i="3" s="1"/>
  <c r="K1591" i="1"/>
  <c r="H871" i="3" s="1"/>
  <c r="K1587" i="1"/>
  <c r="H867" i="3" s="1"/>
  <c r="K1583" i="1"/>
  <c r="H863" i="3" s="1"/>
  <c r="K1579" i="1"/>
  <c r="H859" i="3" s="1"/>
  <c r="K1575" i="1"/>
  <c r="D885" i="3" s="1"/>
  <c r="K1571" i="1"/>
  <c r="D881" i="3" s="1"/>
  <c r="K1567" i="1"/>
  <c r="D877" i="3" s="1"/>
  <c r="K1563" i="1"/>
  <c r="D873" i="3" s="1"/>
  <c r="K1559" i="1"/>
  <c r="D869" i="3" s="1"/>
  <c r="K1555" i="1"/>
  <c r="D865" i="3" s="1"/>
  <c r="K1551" i="1"/>
  <c r="D861" i="3" s="1"/>
  <c r="F1678" i="1" l="1"/>
  <c r="H887" i="3"/>
  <c r="H854" i="3" s="1"/>
  <c r="K1607" i="1"/>
  <c r="K1616" i="1"/>
  <c r="D896" i="3" s="1"/>
  <c r="K1673" i="1"/>
  <c r="H923" i="3" s="1"/>
  <c r="K1669" i="1"/>
  <c r="H919" i="3" s="1"/>
  <c r="K1665" i="1"/>
  <c r="H915" i="3" s="1"/>
  <c r="K1661" i="1"/>
  <c r="H911" i="3" s="1"/>
  <c r="K1657" i="1"/>
  <c r="H907" i="3" s="1"/>
  <c r="K1653" i="1"/>
  <c r="H903" i="3" s="1"/>
  <c r="K1649" i="1"/>
  <c r="H899" i="3" s="1"/>
  <c r="K1645" i="1"/>
  <c r="H895" i="3" s="1"/>
  <c r="K1641" i="1"/>
  <c r="D921" i="3" s="1"/>
  <c r="K1637" i="1"/>
  <c r="D917" i="3" s="1"/>
  <c r="K1633" i="1"/>
  <c r="D913" i="3" s="1"/>
  <c r="K1629" i="1"/>
  <c r="D909" i="3" s="1"/>
  <c r="K1625" i="1"/>
  <c r="D905" i="3" s="1"/>
  <c r="K1621" i="1"/>
  <c r="D901" i="3" s="1"/>
  <c r="K1617" i="1"/>
  <c r="D897" i="3" s="1"/>
  <c r="K1614" i="1"/>
  <c r="D894" i="3" s="1"/>
  <c r="K1670" i="1"/>
  <c r="H920" i="3" s="1"/>
  <c r="K1666" i="1"/>
  <c r="H916" i="3" s="1"/>
  <c r="K1662" i="1"/>
  <c r="H912" i="3" s="1"/>
  <c r="K1658" i="1"/>
  <c r="H908" i="3" s="1"/>
  <c r="K1654" i="1"/>
  <c r="H904" i="3" s="1"/>
  <c r="K1650" i="1"/>
  <c r="H900" i="3" s="1"/>
  <c r="K1646" i="1"/>
  <c r="H896" i="3" s="1"/>
  <c r="K1642" i="1"/>
  <c r="D922" i="3" s="1"/>
  <c r="K1638" i="1"/>
  <c r="D918" i="3" s="1"/>
  <c r="K1634" i="1"/>
  <c r="D914" i="3" s="1"/>
  <c r="K1630" i="1"/>
  <c r="D910" i="3" s="1"/>
  <c r="K1626" i="1"/>
  <c r="D906" i="3" s="1"/>
  <c r="K1622" i="1"/>
  <c r="D902" i="3" s="1"/>
  <c r="K1618" i="1"/>
  <c r="D898" i="3" s="1"/>
  <c r="K1671" i="1"/>
  <c r="H921" i="3" s="1"/>
  <c r="K1667" i="1"/>
  <c r="H917" i="3" s="1"/>
  <c r="K1663" i="1"/>
  <c r="H913" i="3" s="1"/>
  <c r="K1659" i="1"/>
  <c r="H909" i="3" s="1"/>
  <c r="K1655" i="1"/>
  <c r="H905" i="3" s="1"/>
  <c r="K1651" i="1"/>
  <c r="H901" i="3" s="1"/>
  <c r="K1647" i="1"/>
  <c r="H897" i="3" s="1"/>
  <c r="K1643" i="1"/>
  <c r="D923" i="3" s="1"/>
  <c r="K1639" i="1"/>
  <c r="D919" i="3" s="1"/>
  <c r="K1635" i="1"/>
  <c r="D915" i="3" s="1"/>
  <c r="K1631" i="1"/>
  <c r="D911" i="3" s="1"/>
  <c r="K1627" i="1"/>
  <c r="D907" i="3" s="1"/>
  <c r="K1623" i="1"/>
  <c r="D903" i="3" s="1"/>
  <c r="K1619" i="1"/>
  <c r="D899" i="3" s="1"/>
  <c r="K1615" i="1"/>
  <c r="D895" i="3" s="1"/>
  <c r="K1672" i="1"/>
  <c r="H922" i="3" s="1"/>
  <c r="K1668" i="1"/>
  <c r="H918" i="3" s="1"/>
  <c r="K1664" i="1"/>
  <c r="H914" i="3" s="1"/>
  <c r="K1660" i="1"/>
  <c r="H910" i="3" s="1"/>
  <c r="K1656" i="1"/>
  <c r="H906" i="3" s="1"/>
  <c r="K1652" i="1"/>
  <c r="H902" i="3" s="1"/>
  <c r="K1648" i="1"/>
  <c r="H898" i="3" s="1"/>
  <c r="K1644" i="1"/>
  <c r="H894" i="3" s="1"/>
  <c r="K1640" i="1"/>
  <c r="D920" i="3" s="1"/>
  <c r="K1636" i="1"/>
  <c r="D916" i="3" s="1"/>
  <c r="K1632" i="1"/>
  <c r="D912" i="3" s="1"/>
  <c r="K1628" i="1"/>
  <c r="D908" i="3" s="1"/>
  <c r="K1624" i="1"/>
  <c r="D904" i="3" s="1"/>
  <c r="K1620" i="1"/>
  <c r="D900" i="3" s="1"/>
  <c r="F1745" i="1" l="1"/>
  <c r="H924" i="3"/>
  <c r="H891" i="3" s="1"/>
  <c r="K1683" i="1"/>
  <c r="D933" i="3" s="1"/>
  <c r="K1740" i="1"/>
  <c r="H960" i="3" s="1"/>
  <c r="K1736" i="1"/>
  <c r="H956" i="3" s="1"/>
  <c r="K1732" i="1"/>
  <c r="H952" i="3" s="1"/>
  <c r="K1728" i="1"/>
  <c r="H948" i="3" s="1"/>
  <c r="K1724" i="1"/>
  <c r="H944" i="3" s="1"/>
  <c r="K1720" i="1"/>
  <c r="H940" i="3" s="1"/>
  <c r="K1716" i="1"/>
  <c r="H936" i="3" s="1"/>
  <c r="K1712" i="1"/>
  <c r="H932" i="3" s="1"/>
  <c r="K1708" i="1"/>
  <c r="D958" i="3" s="1"/>
  <c r="K1704" i="1"/>
  <c r="D954" i="3" s="1"/>
  <c r="K1700" i="1"/>
  <c r="D950" i="3" s="1"/>
  <c r="K1696" i="1"/>
  <c r="D946" i="3" s="1"/>
  <c r="K1692" i="1"/>
  <c r="D942" i="3" s="1"/>
  <c r="K1688" i="1"/>
  <c r="D938" i="3" s="1"/>
  <c r="K1684" i="1"/>
  <c r="D934" i="3" s="1"/>
  <c r="K1739" i="1"/>
  <c r="H959" i="3" s="1"/>
  <c r="K1735" i="1"/>
  <c r="H955" i="3" s="1"/>
  <c r="K1731" i="1"/>
  <c r="H951" i="3" s="1"/>
  <c r="K1727" i="1"/>
  <c r="H947" i="3" s="1"/>
  <c r="K1723" i="1"/>
  <c r="H943" i="3" s="1"/>
  <c r="K1719" i="1"/>
  <c r="H939" i="3" s="1"/>
  <c r="K1715" i="1"/>
  <c r="H935" i="3" s="1"/>
  <c r="K1711" i="1"/>
  <c r="H931" i="3" s="1"/>
  <c r="K1707" i="1"/>
  <c r="D957" i="3" s="1"/>
  <c r="K1703" i="1"/>
  <c r="D953" i="3" s="1"/>
  <c r="K1699" i="1"/>
  <c r="D949" i="3" s="1"/>
  <c r="K1695" i="1"/>
  <c r="D945" i="3" s="1"/>
  <c r="K1691" i="1"/>
  <c r="D941" i="3" s="1"/>
  <c r="K1738" i="1"/>
  <c r="H958" i="3" s="1"/>
  <c r="K1734" i="1"/>
  <c r="H954" i="3" s="1"/>
  <c r="K1730" i="1"/>
  <c r="H950" i="3" s="1"/>
  <c r="K1726" i="1"/>
  <c r="H946" i="3" s="1"/>
  <c r="K1722" i="1"/>
  <c r="H942" i="3" s="1"/>
  <c r="K1718" i="1"/>
  <c r="H938" i="3" s="1"/>
  <c r="K1714" i="1"/>
  <c r="H934" i="3" s="1"/>
  <c r="K1710" i="1"/>
  <c r="D960" i="3" s="1"/>
  <c r="K1706" i="1"/>
  <c r="D956" i="3" s="1"/>
  <c r="K1702" i="1"/>
  <c r="D952" i="3" s="1"/>
  <c r="K1698" i="1"/>
  <c r="D948" i="3" s="1"/>
  <c r="K1694" i="1"/>
  <c r="D944" i="3" s="1"/>
  <c r="K1690" i="1"/>
  <c r="D940" i="3" s="1"/>
  <c r="K1686" i="1"/>
  <c r="D936" i="3" s="1"/>
  <c r="K1682" i="1"/>
  <c r="D932" i="3" s="1"/>
  <c r="K1681" i="1"/>
  <c r="D931" i="3" s="1"/>
  <c r="K1737" i="1"/>
  <c r="H957" i="3" s="1"/>
  <c r="K1733" i="1"/>
  <c r="H953" i="3" s="1"/>
  <c r="K1729" i="1"/>
  <c r="H949" i="3" s="1"/>
  <c r="K1725" i="1"/>
  <c r="H945" i="3" s="1"/>
  <c r="K1721" i="1"/>
  <c r="H941" i="3" s="1"/>
  <c r="K1717" i="1"/>
  <c r="H937" i="3" s="1"/>
  <c r="K1713" i="1"/>
  <c r="H933" i="3" s="1"/>
  <c r="K1709" i="1"/>
  <c r="D959" i="3" s="1"/>
  <c r="K1705" i="1"/>
  <c r="D955" i="3" s="1"/>
  <c r="K1701" i="1"/>
  <c r="D951" i="3" s="1"/>
  <c r="K1697" i="1"/>
  <c r="D947" i="3" s="1"/>
  <c r="K1693" i="1"/>
  <c r="D943" i="3" s="1"/>
  <c r="K1689" i="1"/>
  <c r="D939" i="3" s="1"/>
  <c r="K1687" i="1"/>
  <c r="D937" i="3" s="1"/>
  <c r="K1685" i="1"/>
  <c r="D935" i="3" s="1"/>
  <c r="K1674" i="1"/>
  <c r="F1812" i="1" l="1"/>
  <c r="H961" i="3"/>
  <c r="H928" i="3" s="1"/>
  <c r="K1741" i="1"/>
  <c r="K1750" i="1"/>
  <c r="D970" i="3" s="1"/>
  <c r="K1807" i="1"/>
  <c r="H997" i="3" s="1"/>
  <c r="K1803" i="1"/>
  <c r="H993" i="3" s="1"/>
  <c r="K1799" i="1"/>
  <c r="H989" i="3" s="1"/>
  <c r="K1795" i="1"/>
  <c r="H985" i="3" s="1"/>
  <c r="K1791" i="1"/>
  <c r="H981" i="3" s="1"/>
  <c r="K1787" i="1"/>
  <c r="H977" i="3" s="1"/>
  <c r="K1783" i="1"/>
  <c r="H973" i="3" s="1"/>
  <c r="K1779" i="1"/>
  <c r="H969" i="3" s="1"/>
  <c r="K1775" i="1"/>
  <c r="D995" i="3" s="1"/>
  <c r="K1771" i="1"/>
  <c r="D991" i="3" s="1"/>
  <c r="K1767" i="1"/>
  <c r="D987" i="3" s="1"/>
  <c r="K1763" i="1"/>
  <c r="D983" i="3" s="1"/>
  <c r="K1759" i="1"/>
  <c r="D979" i="3" s="1"/>
  <c r="K1755" i="1"/>
  <c r="D975" i="3" s="1"/>
  <c r="K1751" i="1"/>
  <c r="D971" i="3" s="1"/>
  <c r="K1805" i="1"/>
  <c r="H995" i="3" s="1"/>
  <c r="K1801" i="1"/>
  <c r="H991" i="3" s="1"/>
  <c r="K1797" i="1"/>
  <c r="H987" i="3" s="1"/>
  <c r="K1793" i="1"/>
  <c r="H983" i="3" s="1"/>
  <c r="K1789" i="1"/>
  <c r="H979" i="3" s="1"/>
  <c r="K1785" i="1"/>
  <c r="H975" i="3" s="1"/>
  <c r="K1781" i="1"/>
  <c r="H971" i="3" s="1"/>
  <c r="K1777" i="1"/>
  <c r="D997" i="3" s="1"/>
  <c r="K1773" i="1"/>
  <c r="D993" i="3" s="1"/>
  <c r="K1769" i="1"/>
  <c r="D989" i="3" s="1"/>
  <c r="K1765" i="1"/>
  <c r="D985" i="3" s="1"/>
  <c r="K1761" i="1"/>
  <c r="D981" i="3" s="1"/>
  <c r="K1757" i="1"/>
  <c r="D977" i="3" s="1"/>
  <c r="K1753" i="1"/>
  <c r="D973" i="3" s="1"/>
  <c r="K1749" i="1"/>
  <c r="D969" i="3" s="1"/>
  <c r="K1748" i="1"/>
  <c r="D968" i="3" s="1"/>
  <c r="K1804" i="1"/>
  <c r="H994" i="3" s="1"/>
  <c r="K1800" i="1"/>
  <c r="H990" i="3" s="1"/>
  <c r="K1796" i="1"/>
  <c r="H986" i="3" s="1"/>
  <c r="K1792" i="1"/>
  <c r="H982" i="3" s="1"/>
  <c r="K1788" i="1"/>
  <c r="H978" i="3" s="1"/>
  <c r="K1784" i="1"/>
  <c r="H974" i="3" s="1"/>
  <c r="K1780" i="1"/>
  <c r="H970" i="3" s="1"/>
  <c r="K1776" i="1"/>
  <c r="D996" i="3" s="1"/>
  <c r="K1772" i="1"/>
  <c r="D992" i="3" s="1"/>
  <c r="K1768" i="1"/>
  <c r="D988" i="3" s="1"/>
  <c r="K1764" i="1"/>
  <c r="D984" i="3" s="1"/>
  <c r="K1760" i="1"/>
  <c r="D980" i="3" s="1"/>
  <c r="K1756" i="1"/>
  <c r="D976" i="3" s="1"/>
  <c r="K1752" i="1"/>
  <c r="D972" i="3" s="1"/>
  <c r="K1806" i="1"/>
  <c r="H996" i="3" s="1"/>
  <c r="K1802" i="1"/>
  <c r="H992" i="3" s="1"/>
  <c r="K1798" i="1"/>
  <c r="H988" i="3" s="1"/>
  <c r="K1794" i="1"/>
  <c r="H984" i="3" s="1"/>
  <c r="K1790" i="1"/>
  <c r="H980" i="3" s="1"/>
  <c r="K1786" i="1"/>
  <c r="H976" i="3" s="1"/>
  <c r="K1782" i="1"/>
  <c r="H972" i="3" s="1"/>
  <c r="K1778" i="1"/>
  <c r="H968" i="3" s="1"/>
  <c r="K1774" i="1"/>
  <c r="D994" i="3" s="1"/>
  <c r="K1770" i="1"/>
  <c r="D990" i="3" s="1"/>
  <c r="K1766" i="1"/>
  <c r="D986" i="3" s="1"/>
  <c r="K1762" i="1"/>
  <c r="D982" i="3" s="1"/>
  <c r="K1758" i="1"/>
  <c r="D978" i="3" s="1"/>
  <c r="K1754" i="1"/>
  <c r="D974" i="3" s="1"/>
  <c r="H998" i="3" l="1"/>
  <c r="H965" i="3" s="1"/>
  <c r="K1808" i="1"/>
  <c r="K1817" i="1"/>
  <c r="K1874" i="1"/>
  <c r="K1870" i="1"/>
  <c r="K1866" i="1"/>
  <c r="K1862" i="1"/>
  <c r="K1858" i="1"/>
  <c r="K1854" i="1"/>
  <c r="K1850" i="1"/>
  <c r="K1846" i="1"/>
  <c r="K1842" i="1"/>
  <c r="K1838" i="1"/>
  <c r="K1834" i="1"/>
  <c r="K1830" i="1"/>
  <c r="K1826" i="1"/>
  <c r="K1822" i="1"/>
  <c r="K1818" i="1"/>
  <c r="K1872" i="1"/>
  <c r="K1868" i="1"/>
  <c r="K1864" i="1"/>
  <c r="K1860" i="1"/>
  <c r="K1856" i="1"/>
  <c r="K1852" i="1"/>
  <c r="K1848" i="1"/>
  <c r="K1844" i="1"/>
  <c r="K1840" i="1"/>
  <c r="K1836" i="1"/>
  <c r="K1832" i="1"/>
  <c r="K1828" i="1"/>
  <c r="K1824" i="1"/>
  <c r="K1820" i="1"/>
  <c r="K1816" i="1"/>
  <c r="K1873" i="1"/>
  <c r="K1869" i="1"/>
  <c r="K1865" i="1"/>
  <c r="K1861" i="1"/>
  <c r="K1857" i="1"/>
  <c r="K1853" i="1"/>
  <c r="K1849" i="1"/>
  <c r="K1845" i="1"/>
  <c r="K1841" i="1"/>
  <c r="K1837" i="1"/>
  <c r="K1833" i="1"/>
  <c r="K1829" i="1"/>
  <c r="K1825" i="1"/>
  <c r="K1821" i="1"/>
  <c r="K1815" i="1"/>
  <c r="K1871" i="1"/>
  <c r="K1867" i="1"/>
  <c r="K1863" i="1"/>
  <c r="K1859" i="1"/>
  <c r="K1855" i="1"/>
  <c r="K1851" i="1"/>
  <c r="K1847" i="1"/>
  <c r="K1843" i="1"/>
  <c r="K1839" i="1"/>
  <c r="K1835" i="1"/>
  <c r="K1831" i="1"/>
  <c r="K1827" i="1"/>
  <c r="K1823" i="1"/>
  <c r="K1819" i="1"/>
  <c r="D1021" i="3" l="1"/>
  <c r="H1023" i="3"/>
  <c r="H1013" i="3"/>
  <c r="H1016" i="3"/>
  <c r="D1020" i="3"/>
  <c r="H1006" i="3"/>
  <c r="H1022" i="3"/>
  <c r="D1007" i="3"/>
  <c r="D1033" i="3"/>
  <c r="D1010" i="3"/>
  <c r="D1026" i="3"/>
  <c r="H1012" i="3"/>
  <c r="H1028" i="3"/>
  <c r="D1016" i="3"/>
  <c r="H1018" i="3"/>
  <c r="H1034" i="3"/>
  <c r="D1013" i="3"/>
  <c r="D1029" i="3"/>
  <c r="H1015" i="3"/>
  <c r="H1031" i="3"/>
  <c r="D1019" i="3"/>
  <c r="H1005" i="3"/>
  <c r="H1021" i="3"/>
  <c r="D1006" i="3"/>
  <c r="D1022" i="3"/>
  <c r="H1008" i="3"/>
  <c r="H1024" i="3"/>
  <c r="D1012" i="3"/>
  <c r="D1028" i="3"/>
  <c r="H1014" i="3"/>
  <c r="H1030" i="3"/>
  <c r="H1007" i="3"/>
  <c r="D1011" i="3"/>
  <c r="D1027" i="3"/>
  <c r="H1029" i="3"/>
  <c r="D1014" i="3"/>
  <c r="D1030" i="3"/>
  <c r="H1032" i="3"/>
  <c r="D1017" i="3"/>
  <c r="H1019" i="3"/>
  <c r="D1005" i="3"/>
  <c r="D1023" i="3"/>
  <c r="H1009" i="3"/>
  <c r="H1025" i="3"/>
  <c r="D1032" i="3"/>
  <c r="D1009" i="3"/>
  <c r="D1025" i="3"/>
  <c r="H1011" i="3"/>
  <c r="H1027" i="3"/>
  <c r="D1015" i="3"/>
  <c r="D1031" i="3"/>
  <c r="H1017" i="3"/>
  <c r="H1033" i="3"/>
  <c r="D1018" i="3"/>
  <c r="D1034" i="3"/>
  <c r="H1020" i="3"/>
  <c r="D1008" i="3"/>
  <c r="D1024" i="3"/>
  <c r="H1010" i="3"/>
  <c r="H1026" i="3"/>
  <c r="K1951" i="1"/>
  <c r="K2008" i="1"/>
  <c r="K2004" i="1"/>
  <c r="K2000" i="1"/>
  <c r="K1996" i="1"/>
  <c r="K1992" i="1"/>
  <c r="K1988" i="1"/>
  <c r="K1984" i="1"/>
  <c r="K1980" i="1"/>
  <c r="K1976" i="1"/>
  <c r="K1972" i="1"/>
  <c r="K1968" i="1"/>
  <c r="K1964" i="1"/>
  <c r="K1960" i="1"/>
  <c r="K1956" i="1"/>
  <c r="K1952" i="1"/>
  <c r="K2006" i="1"/>
  <c r="K2002" i="1"/>
  <c r="K1998" i="1"/>
  <c r="K1994" i="1"/>
  <c r="K1990" i="1"/>
  <c r="K1986" i="1"/>
  <c r="K1982" i="1"/>
  <c r="K1978" i="1"/>
  <c r="K1974" i="1"/>
  <c r="K1970" i="1"/>
  <c r="K1966" i="1"/>
  <c r="K1962" i="1"/>
  <c r="K1958" i="1"/>
  <c r="K1954" i="1"/>
  <c r="K1950" i="1"/>
  <c r="K2007" i="1"/>
  <c r="K2003" i="1"/>
  <c r="K1999" i="1"/>
  <c r="K1995" i="1"/>
  <c r="K1991" i="1"/>
  <c r="K1987" i="1"/>
  <c r="K1983" i="1"/>
  <c r="K1979" i="1"/>
  <c r="K1975" i="1"/>
  <c r="K1971" i="1"/>
  <c r="K1967" i="1"/>
  <c r="K1963" i="1"/>
  <c r="K1959" i="1"/>
  <c r="K1955" i="1"/>
  <c r="K1949" i="1"/>
  <c r="K2005" i="1"/>
  <c r="K2001" i="1"/>
  <c r="K1997" i="1"/>
  <c r="K1993" i="1"/>
  <c r="K1989" i="1"/>
  <c r="K1985" i="1"/>
  <c r="K1981" i="1"/>
  <c r="K1977" i="1"/>
  <c r="K1973" i="1"/>
  <c r="K1969" i="1"/>
  <c r="K1965" i="1"/>
  <c r="K1961" i="1"/>
  <c r="K1957" i="1"/>
  <c r="K1953" i="1"/>
  <c r="K1875" i="1"/>
  <c r="K1884" i="1"/>
  <c r="D1044" i="3" s="1"/>
  <c r="K1941" i="1"/>
  <c r="H1071" i="3" s="1"/>
  <c r="K1937" i="1"/>
  <c r="H1067" i="3" s="1"/>
  <c r="K1933" i="1"/>
  <c r="H1063" i="3" s="1"/>
  <c r="K1929" i="1"/>
  <c r="H1059" i="3" s="1"/>
  <c r="K1925" i="1"/>
  <c r="H1055" i="3" s="1"/>
  <c r="K1921" i="1"/>
  <c r="H1051" i="3" s="1"/>
  <c r="K1917" i="1"/>
  <c r="H1047" i="3" s="1"/>
  <c r="K1913" i="1"/>
  <c r="H1043" i="3" s="1"/>
  <c r="K1909" i="1"/>
  <c r="D1069" i="3" s="1"/>
  <c r="K1905" i="1"/>
  <c r="D1065" i="3" s="1"/>
  <c r="K1901" i="1"/>
  <c r="D1061" i="3" s="1"/>
  <c r="K1897" i="1"/>
  <c r="D1057" i="3" s="1"/>
  <c r="K1893" i="1"/>
  <c r="D1053" i="3" s="1"/>
  <c r="K1889" i="1"/>
  <c r="D1049" i="3" s="1"/>
  <c r="K1885" i="1"/>
  <c r="D1045" i="3" s="1"/>
  <c r="K1939" i="1"/>
  <c r="H1069" i="3" s="1"/>
  <c r="K1935" i="1"/>
  <c r="H1065" i="3" s="1"/>
  <c r="K1931" i="1"/>
  <c r="H1061" i="3" s="1"/>
  <c r="K1927" i="1"/>
  <c r="H1057" i="3" s="1"/>
  <c r="K1923" i="1"/>
  <c r="H1053" i="3" s="1"/>
  <c r="K1919" i="1"/>
  <c r="H1049" i="3" s="1"/>
  <c r="K1915" i="1"/>
  <c r="H1045" i="3" s="1"/>
  <c r="K1911" i="1"/>
  <c r="D1071" i="3" s="1"/>
  <c r="K1907" i="1"/>
  <c r="D1067" i="3" s="1"/>
  <c r="K1903" i="1"/>
  <c r="D1063" i="3" s="1"/>
  <c r="K1899" i="1"/>
  <c r="D1059" i="3" s="1"/>
  <c r="K1895" i="1"/>
  <c r="D1055" i="3" s="1"/>
  <c r="K1891" i="1"/>
  <c r="D1051" i="3" s="1"/>
  <c r="K1887" i="1"/>
  <c r="D1047" i="3" s="1"/>
  <c r="K1883" i="1"/>
  <c r="D1043" i="3" s="1"/>
  <c r="K1882" i="1"/>
  <c r="D1042" i="3" s="1"/>
  <c r="K1938" i="1"/>
  <c r="H1068" i="3" s="1"/>
  <c r="K1934" i="1"/>
  <c r="H1064" i="3" s="1"/>
  <c r="K1930" i="1"/>
  <c r="H1060" i="3" s="1"/>
  <c r="K1926" i="1"/>
  <c r="H1056" i="3" s="1"/>
  <c r="K1922" i="1"/>
  <c r="H1052" i="3" s="1"/>
  <c r="K1918" i="1"/>
  <c r="H1048" i="3" s="1"/>
  <c r="K1914" i="1"/>
  <c r="H1044" i="3" s="1"/>
  <c r="K1910" i="1"/>
  <c r="D1070" i="3" s="1"/>
  <c r="K1906" i="1"/>
  <c r="D1066" i="3" s="1"/>
  <c r="K1902" i="1"/>
  <c r="D1062" i="3" s="1"/>
  <c r="K1898" i="1"/>
  <c r="D1058" i="3" s="1"/>
  <c r="K1894" i="1"/>
  <c r="D1054" i="3" s="1"/>
  <c r="K1890" i="1"/>
  <c r="D1050" i="3" s="1"/>
  <c r="K1886" i="1"/>
  <c r="D1046" i="3" s="1"/>
  <c r="K1940" i="1"/>
  <c r="H1070" i="3" s="1"/>
  <c r="K1936" i="1"/>
  <c r="H1066" i="3" s="1"/>
  <c r="K1932" i="1"/>
  <c r="H1062" i="3" s="1"/>
  <c r="K1928" i="1"/>
  <c r="H1058" i="3" s="1"/>
  <c r="K1924" i="1"/>
  <c r="H1054" i="3" s="1"/>
  <c r="K1920" i="1"/>
  <c r="H1050" i="3" s="1"/>
  <c r="K1916" i="1"/>
  <c r="H1046" i="3" s="1"/>
  <c r="K1912" i="1"/>
  <c r="H1042" i="3" s="1"/>
  <c r="K1908" i="1"/>
  <c r="D1068" i="3" s="1"/>
  <c r="K1904" i="1"/>
  <c r="D1064" i="3" s="1"/>
  <c r="K1900" i="1"/>
  <c r="D1060" i="3" s="1"/>
  <c r="K1896" i="1"/>
  <c r="D1056" i="3" s="1"/>
  <c r="K1892" i="1"/>
  <c r="D1052" i="3" s="1"/>
  <c r="K1888" i="1"/>
  <c r="D1048" i="3" s="1"/>
  <c r="H1072" i="3" l="1"/>
  <c r="H1039" i="3" s="1"/>
  <c r="H1035" i="3"/>
  <c r="H1002" i="3" s="1"/>
  <c r="H1081" i="3"/>
  <c r="D1085" i="3"/>
  <c r="H1087" i="3"/>
  <c r="D1088" i="3"/>
  <c r="D1104" i="3"/>
  <c r="D1094" i="3"/>
  <c r="D1081" i="3"/>
  <c r="D1107" i="3"/>
  <c r="H1093" i="3"/>
  <c r="D1097" i="3"/>
  <c r="H1083" i="3"/>
  <c r="H1099" i="3"/>
  <c r="D1100" i="3"/>
  <c r="H1086" i="3"/>
  <c r="H1102" i="3"/>
  <c r="D1090" i="3"/>
  <c r="H1092" i="3"/>
  <c r="H1108" i="3"/>
  <c r="D1087" i="3"/>
  <c r="D1103" i="3"/>
  <c r="H1089" i="3"/>
  <c r="H1105" i="3"/>
  <c r="D1093" i="3"/>
  <c r="H1079" i="3"/>
  <c r="H1095" i="3"/>
  <c r="D1080" i="3"/>
  <c r="D1096" i="3"/>
  <c r="H1082" i="3"/>
  <c r="H1098" i="3"/>
  <c r="D1086" i="3"/>
  <c r="D1102" i="3"/>
  <c r="H1088" i="3"/>
  <c r="H1104" i="3"/>
  <c r="D1095" i="3"/>
  <c r="H1097" i="3"/>
  <c r="D1101" i="3"/>
  <c r="H1103" i="3"/>
  <c r="H1090" i="3"/>
  <c r="H1106" i="3"/>
  <c r="H1080" i="3"/>
  <c r="H1096" i="3"/>
  <c r="D1091" i="3"/>
  <c r="D1079" i="3"/>
  <c r="D1084" i="3"/>
  <c r="D1106" i="3"/>
  <c r="D1083" i="3"/>
  <c r="D1099" i="3"/>
  <c r="H1085" i="3"/>
  <c r="H1101" i="3"/>
  <c r="D1089" i="3"/>
  <c r="D1105" i="3"/>
  <c r="H1091" i="3"/>
  <c r="H1107" i="3"/>
  <c r="D1092" i="3"/>
  <c r="D1108" i="3"/>
  <c r="H1094" i="3"/>
  <c r="D1082" i="3"/>
  <c r="D1098" i="3"/>
  <c r="H1084" i="3"/>
  <c r="H1100" i="3"/>
  <c r="K1942" i="1"/>
  <c r="K2009" i="1"/>
  <c r="H1109" i="3" l="1"/>
  <c r="H1076" i="3" s="1"/>
  <c r="H39" i="2" l="1"/>
  <c r="G39" i="2" l="1"/>
  <c r="I39" i="2" s="1"/>
  <c r="C26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Tabinda</author>
  </authors>
  <commentList>
    <comment ref="D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Click on respective Name of the class you want to go.</t>
        </r>
      </text>
    </comment>
    <comment ref="E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Click on respective Name of the class you want to go.
</t>
        </r>
      </text>
    </comment>
  </commentList>
</comments>
</file>

<file path=xl/sharedStrings.xml><?xml version="1.0" encoding="utf-8"?>
<sst xmlns="http://schemas.openxmlformats.org/spreadsheetml/2006/main" count="2260" uniqueCount="748">
  <si>
    <t>Class</t>
  </si>
  <si>
    <t>Roll No.</t>
  </si>
  <si>
    <t>Name</t>
  </si>
  <si>
    <t>Payment-1</t>
  </si>
  <si>
    <t>Payment-2</t>
  </si>
  <si>
    <t>Payment-3</t>
  </si>
  <si>
    <t>Payment-4</t>
  </si>
  <si>
    <t>Payment-5</t>
  </si>
  <si>
    <t>Total Payment</t>
  </si>
  <si>
    <t>Pending Fee</t>
  </si>
  <si>
    <t>Ajay</t>
  </si>
  <si>
    <t>Bharat</t>
  </si>
  <si>
    <t>Chandrakant</t>
  </si>
  <si>
    <t>Dipak</t>
  </si>
  <si>
    <t>Elango</t>
  </si>
  <si>
    <t>Farid</t>
  </si>
  <si>
    <t>Girish</t>
  </si>
  <si>
    <t>Harish</t>
  </si>
  <si>
    <t>Imtiyaz</t>
  </si>
  <si>
    <t>Jawahar</t>
  </si>
  <si>
    <t>Kalpesh</t>
  </si>
  <si>
    <t>Leena</t>
  </si>
  <si>
    <t>Maria</t>
  </si>
  <si>
    <t>Neha</t>
  </si>
  <si>
    <t>Priya</t>
  </si>
  <si>
    <t>Riya</t>
  </si>
  <si>
    <t>Sapna</t>
  </si>
  <si>
    <t>Tabassum</t>
  </si>
  <si>
    <t>Urmila</t>
  </si>
  <si>
    <t>Vimla</t>
  </si>
  <si>
    <t>Zainab</t>
  </si>
  <si>
    <t>Total Outstanding</t>
  </si>
  <si>
    <t>1) Fee Received Details</t>
  </si>
  <si>
    <t>Pending Fee Details</t>
  </si>
  <si>
    <t>A.Y.</t>
  </si>
  <si>
    <t>Class-Div</t>
  </si>
  <si>
    <t>Total O/s.</t>
  </si>
  <si>
    <t>Class Fee</t>
  </si>
  <si>
    <t>Student Fee Collection System</t>
  </si>
  <si>
    <t xml:space="preserve">Fee Collection Navigation </t>
  </si>
  <si>
    <t>Pending Fee Navigation</t>
  </si>
  <si>
    <t>Fee Receipt Sheet</t>
  </si>
  <si>
    <t>Fee Pending Sheet</t>
  </si>
  <si>
    <t>Outstanding Summary</t>
  </si>
  <si>
    <t>Class-Wise</t>
  </si>
  <si>
    <t>Total</t>
  </si>
  <si>
    <t>Total Fee Due</t>
  </si>
  <si>
    <t>Difference</t>
  </si>
  <si>
    <t>Fee Received</t>
  </si>
  <si>
    <t>www.ExcelDataPro.com</t>
  </si>
  <si>
    <t>Navigation Index and Fee Summary Report</t>
  </si>
  <si>
    <t>Fee Receipt (Class-wise)</t>
  </si>
  <si>
    <t>Fee Pending (Class-wise)</t>
  </si>
  <si>
    <t xml:space="preserve"> CRECHE</t>
  </si>
  <si>
    <t>Nur-1</t>
  </si>
  <si>
    <t>Nur-2</t>
  </si>
  <si>
    <t>KG-1</t>
  </si>
  <si>
    <t>KG-2</t>
  </si>
  <si>
    <t>BASIC 1A</t>
  </si>
  <si>
    <t>BASIC 1B</t>
  </si>
  <si>
    <t>BASIC 2A</t>
  </si>
  <si>
    <t>BASIC 2B</t>
  </si>
  <si>
    <t>BASIC 3A</t>
  </si>
  <si>
    <t>BASIC 3B</t>
  </si>
  <si>
    <t>BASIC 4A</t>
  </si>
  <si>
    <t xml:space="preserve">BASIC 4B </t>
  </si>
  <si>
    <t>BASIC 5A</t>
  </si>
  <si>
    <t>BASIC 5B</t>
  </si>
  <si>
    <t>BASIC 6A</t>
  </si>
  <si>
    <t>BASIC 6B</t>
  </si>
  <si>
    <t>BASIC 7A</t>
  </si>
  <si>
    <t>BASIC 7B</t>
  </si>
  <si>
    <t>BASIC 8A</t>
  </si>
  <si>
    <t>BASIC 8B</t>
  </si>
  <si>
    <t>Paste whole class details in the below light blue zone from previous sheet for which reminder needs to be send.</t>
  </si>
  <si>
    <t>Enter below details. It will directly reflect in reminder letter.</t>
  </si>
  <si>
    <t>Sr. No.</t>
  </si>
  <si>
    <t>Fee Pending</t>
  </si>
  <si>
    <t>Particulars</t>
  </si>
  <si>
    <t>Details</t>
  </si>
  <si>
    <t>Nur-A</t>
  </si>
  <si>
    <t>Fee Reminder Date</t>
  </si>
  <si>
    <t>Days to pay</t>
  </si>
  <si>
    <t>Latest by</t>
  </si>
  <si>
    <t>Total O/s</t>
  </si>
  <si>
    <t>AGLONU WISDOM</t>
  </si>
  <si>
    <t>AMEDZA KING ERICSON</t>
  </si>
  <si>
    <t>ANOKYE KINGSFORD</t>
  </si>
  <si>
    <t>ASANTE NHYIRA</t>
  </si>
  <si>
    <t>BLERPO RANSFORD</t>
  </si>
  <si>
    <t>BOAFO OHENEBA DESMOND</t>
  </si>
  <si>
    <t>HANSON GABRIEL</t>
  </si>
  <si>
    <t>KWAMIN JARED</t>
  </si>
  <si>
    <t>NORTEY RANSFORD</t>
  </si>
  <si>
    <t>ADDY TETTEH MICKEL</t>
  </si>
  <si>
    <t>TSEWU SELORM</t>
  </si>
  <si>
    <t>AMOAH HUBERT</t>
  </si>
  <si>
    <t>OBOSU ADOM AARON</t>
  </si>
  <si>
    <t>ABOTSI RHODA</t>
  </si>
  <si>
    <t>ADDEY GLORIA</t>
  </si>
  <si>
    <t>AHOTO BLESSING</t>
  </si>
  <si>
    <t>AIDOO LAWRENCIA</t>
  </si>
  <si>
    <t>ASIGBE RICHLOVE</t>
  </si>
  <si>
    <t>BOSOMPRAH HANNAH</t>
  </si>
  <si>
    <t>COLE HADASSA</t>
  </si>
  <si>
    <t>GAIUS MERCEDES</t>
  </si>
  <si>
    <t>QUAYSON VICTORIA</t>
  </si>
  <si>
    <t>WADUDU MUSHARAFA</t>
  </si>
  <si>
    <t>QUAYSON ANGELINA</t>
  </si>
  <si>
    <t>AHOTO GIDEON</t>
  </si>
  <si>
    <t>AHENKORAH PENIELLA</t>
  </si>
  <si>
    <t>ABDUL AZIZ MARIAM</t>
  </si>
  <si>
    <t>RASHID SAMIRA</t>
  </si>
  <si>
    <t>TSEWU SELIKEM</t>
  </si>
  <si>
    <t>OTOO ACHINI MARY</t>
  </si>
  <si>
    <t>AFARI MIRACLE</t>
  </si>
  <si>
    <t>ASIO TIWA LISA</t>
  </si>
  <si>
    <t>BOADI CHRISTABEL</t>
  </si>
  <si>
    <t>OPOKU NANA TREASURE</t>
  </si>
  <si>
    <t>TIJANI TIPAYA</t>
  </si>
  <si>
    <t>BROWN MACARENA</t>
  </si>
  <si>
    <t>GAIUS MILDRED</t>
  </si>
  <si>
    <t>AMOAH MILENA</t>
  </si>
  <si>
    <t>AVISON VALIKEM</t>
  </si>
  <si>
    <t>WIREKO A.ELLIOT</t>
  </si>
  <si>
    <t>KATTAH KEMUEL AMENUVEVE</t>
  </si>
  <si>
    <t>KWAMIN JULIUS</t>
  </si>
  <si>
    <t>FOSU MARK</t>
  </si>
  <si>
    <t>AMOAKO SHERIFA</t>
  </si>
  <si>
    <t>ATAMBIRE VIDA</t>
  </si>
  <si>
    <t>DJAGBATEY MICKEL</t>
  </si>
  <si>
    <t>DONKOH CLARA</t>
  </si>
  <si>
    <t>DZOKOTO PATRICIA</t>
  </si>
  <si>
    <t>EDUAH LORDINA</t>
  </si>
  <si>
    <t>EMEKA TESTIMONY</t>
  </si>
  <si>
    <t>KABUTEY NADIA</t>
  </si>
  <si>
    <t>ROBERTSON GIANNA</t>
  </si>
  <si>
    <t>ACHINI OTOO MOSES</t>
  </si>
  <si>
    <t>AMOAH ABRAHAM</t>
  </si>
  <si>
    <t>AYIN RANSFORD</t>
  </si>
  <si>
    <t>CUDJOE HARRISON</t>
  </si>
  <si>
    <t>DAUDA JAFFAR</t>
  </si>
  <si>
    <t>HADI LUKMAN</t>
  </si>
  <si>
    <t>KOOMSON ROBERT</t>
  </si>
  <si>
    <t>NARTEY JEPHTER</t>
  </si>
  <si>
    <t>ODEMEY ANUONYAM</t>
  </si>
  <si>
    <t>OSMAN MUTASRI</t>
  </si>
  <si>
    <t>QUAQUE TED</t>
  </si>
  <si>
    <t>TETTEH SAMUEL</t>
  </si>
  <si>
    <t>TIJANI ABDUL WAHAB</t>
  </si>
  <si>
    <t>ADZINU JOANA</t>
  </si>
  <si>
    <t>AFARI ROSE</t>
  </si>
  <si>
    <t>ALHASSAN YUSRA</t>
  </si>
  <si>
    <t>AMU JULIANA</t>
  </si>
  <si>
    <t>ASANTE KIMONA</t>
  </si>
  <si>
    <t>ATINGA JOSEPHINE</t>
  </si>
  <si>
    <t>AYIN THEODORA</t>
  </si>
  <si>
    <t>BINNEY SANDRA</t>
  </si>
  <si>
    <t>FOGAH BETTY</t>
  </si>
  <si>
    <t>HARUNA MARIAM</t>
  </si>
  <si>
    <t>HARUNA NASARA</t>
  </si>
  <si>
    <t>KUELIHO HARRIET</t>
  </si>
  <si>
    <t>MUSAH AYISHA</t>
  </si>
  <si>
    <t>AYIN THEODOSIA</t>
  </si>
  <si>
    <t>ROBERTSON DONATELLA</t>
  </si>
  <si>
    <t>TETTEH NANCY</t>
  </si>
  <si>
    <t>OSMAN ABDUL RHAMAN</t>
  </si>
  <si>
    <t>ARTHUR BERTRAND</t>
  </si>
  <si>
    <t>DZOKOTO DESMOND</t>
  </si>
  <si>
    <t>ESSILIFIE ALFRED</t>
  </si>
  <si>
    <t>KOSIPAH JOSHUA</t>
  </si>
  <si>
    <t>KPOGO EZEKIEL</t>
  </si>
  <si>
    <t>QUAO ROBERT</t>
  </si>
  <si>
    <t>MUSAH SEINI</t>
  </si>
  <si>
    <t>NOAMESI DELADEM</t>
  </si>
  <si>
    <t>OSMAN BASAMATITI</t>
  </si>
  <si>
    <t>AMEGADZIE EDEM GERALD</t>
  </si>
  <si>
    <t>KWOFFIE JOKELIN</t>
  </si>
  <si>
    <t>MONYEKOR EDEM CLEMENT</t>
  </si>
  <si>
    <t>APPIAGYEI ASANTEWAA</t>
  </si>
  <si>
    <t>AMETORGO GODFRED SETOR</t>
  </si>
  <si>
    <t>AMEDEKA SEDEM EMILY</t>
  </si>
  <si>
    <t>GYIMAH HUMPHREY</t>
  </si>
  <si>
    <t>ABOAGYE RONALD</t>
  </si>
  <si>
    <t>AMLALO MARVIN</t>
  </si>
  <si>
    <t>AFLAKPUI LIVINGST0NE</t>
  </si>
  <si>
    <t>ADWUBI NUAKO BENEDICTA</t>
  </si>
  <si>
    <t>NEWMAN OHENE</t>
  </si>
  <si>
    <t>AFRAM MARGARET</t>
  </si>
  <si>
    <t>GBADAM AMPOMAH ERIC</t>
  </si>
  <si>
    <t>NYARKO JADEN</t>
  </si>
  <si>
    <t>LUKMAN MUYIIBA</t>
  </si>
  <si>
    <t>TAYLOR ELEANOR ELIKEM</t>
  </si>
  <si>
    <t>ESSEL KOFI TECHI</t>
  </si>
  <si>
    <t>ABDUL RAKIB MAJID</t>
  </si>
  <si>
    <t>MAHAMUD SUDIAS</t>
  </si>
  <si>
    <t xml:space="preserve"> </t>
  </si>
  <si>
    <t>MOHAMMED ISMAIL FAIZ</t>
  </si>
  <si>
    <t>NEWMAN LOVEWELL</t>
  </si>
  <si>
    <t>ABDUL RAZAK MUSLIMA</t>
  </si>
  <si>
    <t>AMPONG BRIANNA</t>
  </si>
  <si>
    <t>NAZIRU HAJARA</t>
  </si>
  <si>
    <t>OTOO SAMUEL</t>
  </si>
  <si>
    <t>ADJEI-MENSAH KOJO</t>
  </si>
  <si>
    <t>NYARKO ANTWIWAA ADOM</t>
  </si>
  <si>
    <t>IBRAHIM-RAZAK ATTIYATULLAH</t>
  </si>
  <si>
    <t>IBRAHIM-RAZAK KHAIRIYAH</t>
  </si>
  <si>
    <t>ALORWUYIE ESTHER</t>
  </si>
  <si>
    <t>IBRAHIM BABA TAHIR</t>
  </si>
  <si>
    <t>ABDUL RAHIM RHAMAN</t>
  </si>
  <si>
    <t>ANTWI JOSEPH</t>
  </si>
  <si>
    <t>KITCHER COURAGE</t>
  </si>
  <si>
    <t>QUAICOE CAYSON</t>
  </si>
  <si>
    <t>DARKO ZOEY</t>
  </si>
  <si>
    <t>ATAMBIRE DOROTHY</t>
  </si>
  <si>
    <t>GBAFA MAXWELL</t>
  </si>
  <si>
    <t>ADDY CHRITOPHER</t>
  </si>
  <si>
    <t>ROBERTSON ROBERT</t>
  </si>
  <si>
    <t>DZINADO JOY</t>
  </si>
  <si>
    <t>AFARI JAMES SHININGONE</t>
  </si>
  <si>
    <t>MOHAMMED ZAEED</t>
  </si>
  <si>
    <t>AGBOVI ELIZAH</t>
  </si>
  <si>
    <t>AHORLU JAYDEN BILLINGS</t>
  </si>
  <si>
    <t>ABDULAI MUSHARAFATU</t>
  </si>
  <si>
    <t>ABDUL KARIM TIJANI</t>
  </si>
  <si>
    <t>ARTHUR ABOAGYE BILLINGS</t>
  </si>
  <si>
    <t>SADIQ SHAREEF</t>
  </si>
  <si>
    <t>KATENOR BRIGHT</t>
  </si>
  <si>
    <t>ASEIDU HUDA</t>
  </si>
  <si>
    <t>O T U ASEDA EKU</t>
  </si>
  <si>
    <t>QUAO DEDE RICHLOVE</t>
  </si>
  <si>
    <t>ASIO DELA LAUDINA</t>
  </si>
  <si>
    <t>ABDUL-RAZAK ZULANIAN</t>
  </si>
  <si>
    <t>AKORTIA REDEEMER</t>
  </si>
  <si>
    <t>MAHAMUD MUBEIN</t>
  </si>
  <si>
    <t>NISSI-WILLS ELORM</t>
  </si>
  <si>
    <t>QUAQUE URIEL DELA</t>
  </si>
  <si>
    <t>ABUSAH SEYRAM VICTORIA</t>
  </si>
  <si>
    <t>YEBOAH DOROTHY NTIAMOAH</t>
  </si>
  <si>
    <t>ADDY FELICIA</t>
  </si>
  <si>
    <t>ADU ERNESTINA</t>
  </si>
  <si>
    <t>AFAGLO NUNANA</t>
  </si>
  <si>
    <t>AGUDEY JUDE</t>
  </si>
  <si>
    <t>AHEVOR DAVID</t>
  </si>
  <si>
    <t>AMOAFO ISAAC</t>
  </si>
  <si>
    <t>AMU K ANDY</t>
  </si>
  <si>
    <t>BOSOMPRAH CELINE</t>
  </si>
  <si>
    <t>BUA SAMIRA</t>
  </si>
  <si>
    <t>CUDJOE YEASON</t>
  </si>
  <si>
    <t>DUHO DORA</t>
  </si>
  <si>
    <t>DUHO DORIS</t>
  </si>
  <si>
    <t>EDUNYA WILLIAM</t>
  </si>
  <si>
    <t>HADI ASANA</t>
  </si>
  <si>
    <t>KETECHIE MCHAEL</t>
  </si>
  <si>
    <t>KOSIPAH JUDE</t>
  </si>
  <si>
    <t>KOTOKU BLESS</t>
  </si>
  <si>
    <t>METUWODZI STEPHANIE</t>
  </si>
  <si>
    <t>MOHAMMED ISMAIL YUSSIF</t>
  </si>
  <si>
    <t>MONYEKOR KOKU EMMANUEL</t>
  </si>
  <si>
    <t>NOAMESI HELEN</t>
  </si>
  <si>
    <t>ROBERTSON ELIJAH</t>
  </si>
  <si>
    <t>SANNI AYISHA</t>
  </si>
  <si>
    <t>SARFO-JONES APOSTLE</t>
  </si>
  <si>
    <t>SAWADOGO SELINAM</t>
  </si>
  <si>
    <t>SEINI LUKMAN</t>
  </si>
  <si>
    <t>WADUDU ABDUL HAQ</t>
  </si>
  <si>
    <t>AGBOVI ADI FELIX</t>
  </si>
  <si>
    <t>ABDUL MAJID FATIMA</t>
  </si>
  <si>
    <t>ADZINU EDITH</t>
  </si>
  <si>
    <t>AFARI MIRIAM</t>
  </si>
  <si>
    <t>AIDOO MATILDA</t>
  </si>
  <si>
    <t>AMOAKO MIRIAM</t>
  </si>
  <si>
    <t>ASAMOAH GABRIEL</t>
  </si>
  <si>
    <t>AYINGAH PATIENCE</t>
  </si>
  <si>
    <t>BANUYE COMFORT</t>
  </si>
  <si>
    <t>BINNEY MARVELOUS</t>
  </si>
  <si>
    <t>BOTCHWAY GRACELYN</t>
  </si>
  <si>
    <t>DUGBENU BLESSING</t>
  </si>
  <si>
    <t>FEYI WILLIAM</t>
  </si>
  <si>
    <t>GYAIDOO GEORGINA</t>
  </si>
  <si>
    <t>MOHAMMED ABDUL AZIZ</t>
  </si>
  <si>
    <t>KASIM ISMAILA</t>
  </si>
  <si>
    <t>KENE BLESS KOFI</t>
  </si>
  <si>
    <t>KUELIHO ANTHONY</t>
  </si>
  <si>
    <t>KWARTENG PRECIOUS</t>
  </si>
  <si>
    <t>NARTEY KEZIA</t>
  </si>
  <si>
    <t>NYARKO RICHMOND</t>
  </si>
  <si>
    <t>OFOSU MANUEL</t>
  </si>
  <si>
    <t>OGBEY EMMANUEL</t>
  </si>
  <si>
    <t>OSMANU ABDULAI</t>
  </si>
  <si>
    <t>WIAFI OSEI CHARLES</t>
  </si>
  <si>
    <t>ADDAI JUSTICE</t>
  </si>
  <si>
    <t>ADADE ALFRED</t>
  </si>
  <si>
    <t>ADDO BETTY</t>
  </si>
  <si>
    <t>AFRAM JOSEPH</t>
  </si>
  <si>
    <t>AGBADI EMMANUEL</t>
  </si>
  <si>
    <t>AGUMENU AVANAM</t>
  </si>
  <si>
    <t>AKYEREMA EUGENIA</t>
  </si>
  <si>
    <t>AMLALO SHIRLEY</t>
  </si>
  <si>
    <t>ASAAH TABITHA</t>
  </si>
  <si>
    <t>ATAMBO MALSOMSOP</t>
  </si>
  <si>
    <t>BOATENG ERIC</t>
  </si>
  <si>
    <t>DZUDZOR ELIZABETH</t>
  </si>
  <si>
    <t>EXE KING CHARES</t>
  </si>
  <si>
    <t>GBAFA MERCY</t>
  </si>
  <si>
    <t>HARUNA BASIT</t>
  </si>
  <si>
    <t>ISMAILA SALIMA</t>
  </si>
  <si>
    <t>KITSIPUI RAMONA</t>
  </si>
  <si>
    <t>MAHAMUD MATEEN</t>
  </si>
  <si>
    <t>NAZIRU AHMED</t>
  </si>
  <si>
    <t>OSEI BONSU BALICIA</t>
  </si>
  <si>
    <t>OTOO ISAIAH</t>
  </si>
  <si>
    <t>SACKEY ANITA</t>
  </si>
  <si>
    <t>ABDUL-SALAM AHMED</t>
  </si>
  <si>
    <t>ACHEAMPONG MARY</t>
  </si>
  <si>
    <t>AMOAKO MIRACLOUS</t>
  </si>
  <si>
    <t>APOBONA ANDREWS</t>
  </si>
  <si>
    <t>ATIASE BRIGHT</t>
  </si>
  <si>
    <t>AWATEY PENNYGREAT</t>
  </si>
  <si>
    <t>AYIVI EYRAM</t>
  </si>
  <si>
    <t>BOAKYE CHARITY</t>
  </si>
  <si>
    <t>DEGBOR FAITH</t>
  </si>
  <si>
    <t>DONKOH PALMER</t>
  </si>
  <si>
    <t>DORFENYO EMMANUEL</t>
  </si>
  <si>
    <t>DORFENYO HANNAH</t>
  </si>
  <si>
    <t>DORFENYO HANNAIAH</t>
  </si>
  <si>
    <t>DZOKOTO KENNEDY</t>
  </si>
  <si>
    <t>GYAKYE EBENEZER</t>
  </si>
  <si>
    <t>KPELU YORM DERRICK</t>
  </si>
  <si>
    <t>OSEI OWEN</t>
  </si>
  <si>
    <t>OTENG YAW OKUKUDUROFO</t>
  </si>
  <si>
    <t>PINTO EUGENIA</t>
  </si>
  <si>
    <t>QUAQUE NUNANA JAPHET</t>
  </si>
  <si>
    <t>RAZAK RAHIM</t>
  </si>
  <si>
    <t>SEKU SAMPSON</t>
  </si>
  <si>
    <t>TETTEH NII JEREMY</t>
  </si>
  <si>
    <t>TETTEY STEPHEN</t>
  </si>
  <si>
    <t>TSALI VERA</t>
  </si>
  <si>
    <t>ABDUL-KADIR FAROUK</t>
  </si>
  <si>
    <t>ABDUL-MAJID NURUDEEN</t>
  </si>
  <si>
    <t>ABDUL-RAHIM RHAMA</t>
  </si>
  <si>
    <t>ACHEAMPONG LYDIA</t>
  </si>
  <si>
    <t>AFARI EMMANUEL</t>
  </si>
  <si>
    <t>AFARI EMMANUELLA</t>
  </si>
  <si>
    <t>AGYEMANG DIVINE</t>
  </si>
  <si>
    <t>AMPEDU SAMUEL</t>
  </si>
  <si>
    <t>ASANTE MICHAEL</t>
  </si>
  <si>
    <t>ASIGBE DELADEM</t>
  </si>
  <si>
    <t>BOSOMPRAH DOROTHY</t>
  </si>
  <si>
    <t>BOTCHWAY MAYNARD</t>
  </si>
  <si>
    <t>CUDJOE SHULAMITE</t>
  </si>
  <si>
    <t>EDUNYA GODFRED</t>
  </si>
  <si>
    <t>FOGAH MIRIAM</t>
  </si>
  <si>
    <t>FOSU PHILEMON</t>
  </si>
  <si>
    <t>HINDU MOHAMMED</t>
  </si>
  <si>
    <t>IBRAHIM SADAT</t>
  </si>
  <si>
    <t>KATENOR MABEL</t>
  </si>
  <si>
    <t>KAZINENAA PRISCILLA</t>
  </si>
  <si>
    <t>KETECHIE RICHMOND</t>
  </si>
  <si>
    <t>MARTEY ISRAEL</t>
  </si>
  <si>
    <t>MENSAH GRACE</t>
  </si>
  <si>
    <t>MOHAMMED SAWUDA</t>
  </si>
  <si>
    <t>MUSAH ABDUL-GANIU</t>
  </si>
  <si>
    <t>OTOO ACHINI SAMUEL</t>
  </si>
  <si>
    <t>OTUMFOUR JEROME</t>
  </si>
  <si>
    <t>TAMATEY DEDE VERTIOUS</t>
  </si>
  <si>
    <t>TEMEREKU EMMANUEL</t>
  </si>
  <si>
    <t>TETTEH BLESSING</t>
  </si>
  <si>
    <t>UMAR ADIZA</t>
  </si>
  <si>
    <t>ZAKARIA SUABRI</t>
  </si>
  <si>
    <t>OWUSU-BEDIAKO GERALDINE</t>
  </si>
  <si>
    <t>AFRAM FRANCISCA</t>
  </si>
  <si>
    <t>AFORLEHO ERIC</t>
  </si>
  <si>
    <t>AHOR JOY</t>
  </si>
  <si>
    <t>AMETORGO SELASI TIMOTHY</t>
  </si>
  <si>
    <t>ARTHUR OBED</t>
  </si>
  <si>
    <t>AZAMETI JOSHUA</t>
  </si>
  <si>
    <t>BELLO PHILIP</t>
  </si>
  <si>
    <t>DARBY CHRISTOPHER</t>
  </si>
  <si>
    <t>DONKOH PHYLIBERT</t>
  </si>
  <si>
    <t>DZINADO WISDOM</t>
  </si>
  <si>
    <t>FIADZORMOR WINICENT</t>
  </si>
  <si>
    <t>MENSAH SHALOM</t>
  </si>
  <si>
    <t>SADIQ ABDUL-HAKIM</t>
  </si>
  <si>
    <t>TAYLOR ELVIS</t>
  </si>
  <si>
    <t>TETTEH DRAH JOSHUA</t>
  </si>
  <si>
    <t>WIAFI ANGELA</t>
  </si>
  <si>
    <t>WORMENOR VICTORIA</t>
  </si>
  <si>
    <t>YEBOAH AMPONSAH KWASI</t>
  </si>
  <si>
    <t>ASAMOAH KELVIN</t>
  </si>
  <si>
    <t>OFOSU HENE NATHANIEL</t>
  </si>
  <si>
    <t>ANDERSON  EUGENIA</t>
  </si>
  <si>
    <t>ABDUL-MAJID TIPAYA</t>
  </si>
  <si>
    <t>ABDUL-RAKIB RASHID</t>
  </si>
  <si>
    <t>ACHINI OTOO DAVID</t>
  </si>
  <si>
    <t>AGYEMANG RUBEN</t>
  </si>
  <si>
    <t>AHORLU ASEYE KAREN</t>
  </si>
  <si>
    <t>AIKINS NATHANIEL</t>
  </si>
  <si>
    <t>AMEDZA E. ALEXANDER</t>
  </si>
  <si>
    <t>ATAMBIRE JOHN</t>
  </si>
  <si>
    <t>COLE GYASI ETHAN</t>
  </si>
  <si>
    <t>DAUDA FAHIMMA</t>
  </si>
  <si>
    <t>DJAGBATEY MOSES</t>
  </si>
  <si>
    <t>KABUTEY CAROLINE</t>
  </si>
  <si>
    <t>KELEDORME SHINE</t>
  </si>
  <si>
    <t>MIHESO DAVID KEKELI</t>
  </si>
  <si>
    <t>POMEYI JOSHUA</t>
  </si>
  <si>
    <t>QUAYSON JUDE</t>
  </si>
  <si>
    <t xml:space="preserve">TETTEH ANDY </t>
  </si>
  <si>
    <t>TETTEH COMFORT</t>
  </si>
  <si>
    <t>ZAKARIA YUMZAA</t>
  </si>
  <si>
    <t>AHIABA ELSIE</t>
  </si>
  <si>
    <t>ABENE DUNCAN</t>
  </si>
  <si>
    <t>ADDO FRANCISCA</t>
  </si>
  <si>
    <t>ADONU DESMOND</t>
  </si>
  <si>
    <t>AGYEKUM DESMOND</t>
  </si>
  <si>
    <t>AHALIGAH AUGUSTINE</t>
  </si>
  <si>
    <t>AMEDZA BENEDICT</t>
  </si>
  <si>
    <t>AMOAKO MARIAM</t>
  </si>
  <si>
    <t>AMPONSAH BENARD</t>
  </si>
  <si>
    <t>ASAAH GEORGETTE</t>
  </si>
  <si>
    <t>ASAMOAH MICHEAL</t>
  </si>
  <si>
    <t>ASARE MARY</t>
  </si>
  <si>
    <t>ASEMDI PAUL</t>
  </si>
  <si>
    <t>ATINGA JONAH</t>
  </si>
  <si>
    <t>AZIEDZO BENJAMIN</t>
  </si>
  <si>
    <t>BINNEY JEPHTER</t>
  </si>
  <si>
    <t>DRAH JOEL</t>
  </si>
  <si>
    <t>DUHO BRIGHT</t>
  </si>
  <si>
    <t>EDUAH CHRISTABEL</t>
  </si>
  <si>
    <t>FERKA OBENEWAA KEZIA</t>
  </si>
  <si>
    <t>GBAFA MOSES</t>
  </si>
  <si>
    <t>KORKOR MICHELLE</t>
  </si>
  <si>
    <t>MARFO BOATEMAA</t>
  </si>
  <si>
    <t>MOHAMMED AL-KAIRU</t>
  </si>
  <si>
    <t>OKRAH JUANITA</t>
  </si>
  <si>
    <t>OPARE NHYIRABA</t>
  </si>
  <si>
    <t>PORTUPHY OFORIWAA</t>
  </si>
  <si>
    <t>SOLODZI NICHOLAS</t>
  </si>
  <si>
    <t>SORKPOR VERA</t>
  </si>
  <si>
    <t>TAGBOR PRECIOUS</t>
  </si>
  <si>
    <t>TSIKATA CHRISTABEL</t>
  </si>
  <si>
    <t>WAYO JOANA</t>
  </si>
  <si>
    <t>ADDO YAKUBU</t>
  </si>
  <si>
    <t>AMANOR ANNABEL</t>
  </si>
  <si>
    <t>ARTHUR CALDWELL</t>
  </si>
  <si>
    <t>ARTHUR ELLEN</t>
  </si>
  <si>
    <t>ASAMOAH VANESSA</t>
  </si>
  <si>
    <t>ASANTE CLIFFORD</t>
  </si>
  <si>
    <t>ASARE PENIEL</t>
  </si>
  <si>
    <t>AWATEY GRANT</t>
  </si>
  <si>
    <t>BINNEY RAYMOND</t>
  </si>
  <si>
    <t>BLERPO REGINA</t>
  </si>
  <si>
    <t>BOADI AYEYI</t>
  </si>
  <si>
    <t>DJAGBATEY LORDINA</t>
  </si>
  <si>
    <t xml:space="preserve">EDUAH PRISCILLA </t>
  </si>
  <si>
    <t>FEYI EMMANUELLA</t>
  </si>
  <si>
    <t>FIADOGBE GRACE</t>
  </si>
  <si>
    <t>GAWUGA MERCY</t>
  </si>
  <si>
    <t>GYAIDOO PRECIOUS</t>
  </si>
  <si>
    <t>GYENIN AUSTIN</t>
  </si>
  <si>
    <t>KORDORWU DAVID</t>
  </si>
  <si>
    <t>MAWUMEKOU CLEMENT</t>
  </si>
  <si>
    <t>MOHAMMED ABDULLAH</t>
  </si>
  <si>
    <t>MUSAH GAFFAR</t>
  </si>
  <si>
    <t>NANOR JEFFERY</t>
  </si>
  <si>
    <t>NUDZE EVELYN</t>
  </si>
  <si>
    <t>OTOO JOHN</t>
  </si>
  <si>
    <t>QUANSAH LANDIS</t>
  </si>
  <si>
    <t>SACKEY MICHAEL</t>
  </si>
  <si>
    <t>SARFOA YAA AFRIYIE</t>
  </si>
  <si>
    <t>SIMPINI EMMANUELLA</t>
  </si>
  <si>
    <t>TEMEREKU LORETTA</t>
  </si>
  <si>
    <t>ZAKARIA TIYUMBA</t>
  </si>
  <si>
    <t>ABDUL-RAKIB HAMZA</t>
  </si>
  <si>
    <t>ADU KELVIN</t>
  </si>
  <si>
    <t>AGUMENU DAVID</t>
  </si>
  <si>
    <t>AGYAPONG ANGEL</t>
  </si>
  <si>
    <t>AMANKWAH MAAFO JEHDEIAH</t>
  </si>
  <si>
    <t>AMOAKO MICHAEL</t>
  </si>
  <si>
    <t>ANANIE RANSFORD</t>
  </si>
  <si>
    <t>AZAMETI SAMUEL</t>
  </si>
  <si>
    <t>BOAKYE YIADOM JOSHUAN</t>
  </si>
  <si>
    <t>BONNEY ANNABEL</t>
  </si>
  <si>
    <t>DANSO DANIEL</t>
  </si>
  <si>
    <t>ESSIEM RICHMOND</t>
  </si>
  <si>
    <t>GAKPLADZI DAVID</t>
  </si>
  <si>
    <t>GEMEGAH SENA</t>
  </si>
  <si>
    <t>GIDEONS SHANELLE</t>
  </si>
  <si>
    <t>KAYABA KHULUDO</t>
  </si>
  <si>
    <t>KLEKU DENNIS</t>
  </si>
  <si>
    <t>KOTOKU FAFALI ELSIE</t>
  </si>
  <si>
    <t>MONYEKOR MERCY</t>
  </si>
  <si>
    <t>MUMIN RAHINA</t>
  </si>
  <si>
    <t>NAZIRU AYISHA</t>
  </si>
  <si>
    <t>NYANYATSE ISAAC</t>
  </si>
  <si>
    <t>OKRONIPA EMMANUEL</t>
  </si>
  <si>
    <t>POMEVO KEKELI COMFORT</t>
  </si>
  <si>
    <t>QUAYE OTHNIEL</t>
  </si>
  <si>
    <t>SEGBEDZI BLESS</t>
  </si>
  <si>
    <t>SULEMANA FAUZAN</t>
  </si>
  <si>
    <t>TETTEH CALEB PINTO</t>
  </si>
  <si>
    <t>TETTEH NII JOEL</t>
  </si>
  <si>
    <t>TORNYELI ESINAM</t>
  </si>
  <si>
    <t>ADDY ELIJAH</t>
  </si>
  <si>
    <t>ADZINU JEREMIAH</t>
  </si>
  <si>
    <t>AGUDEY MICHELLE</t>
  </si>
  <si>
    <t>ALHASSAN HAFSA</t>
  </si>
  <si>
    <t>ALIWOE PEACE</t>
  </si>
  <si>
    <t>AMANKRAH GRACE</t>
  </si>
  <si>
    <t>AMETEPE DESMOND</t>
  </si>
  <si>
    <t>AMOAKO FREDA</t>
  </si>
  <si>
    <t>ANSAH NHYIRABA</t>
  </si>
  <si>
    <t>APPIAH HELENA</t>
  </si>
  <si>
    <t>BOAKYE ELVIS</t>
  </si>
  <si>
    <t>DETSU DANIELLA</t>
  </si>
  <si>
    <t>DOMINION HEAVENSENT</t>
  </si>
  <si>
    <t>DORFENYO RICHARD</t>
  </si>
  <si>
    <t>KWAWUKUME JULIET</t>
  </si>
  <si>
    <t>MENSAH COMFORT</t>
  </si>
  <si>
    <t>MUSAH UMAR</t>
  </si>
  <si>
    <t>NARTEY BERNADINE</t>
  </si>
  <si>
    <t>NYARKO OLIVIA</t>
  </si>
  <si>
    <t>OSEI JUBENG ASEYE</t>
  </si>
  <si>
    <t>SARFOA SANDRA</t>
  </si>
  <si>
    <t>SULEMAN ABDUL BASIT</t>
  </si>
  <si>
    <t>TOKORI JAMES</t>
  </si>
  <si>
    <t>TOKORI JOHN</t>
  </si>
  <si>
    <t>ABUDETSE CALEB</t>
  </si>
  <si>
    <t>ADOBI OSBOURNE</t>
  </si>
  <si>
    <t>ADONU EUGENIA</t>
  </si>
  <si>
    <t>AFIANU BETTY</t>
  </si>
  <si>
    <t>AFORLEHO ENOCH</t>
  </si>
  <si>
    <t>AGBADI EMMANUELLA</t>
  </si>
  <si>
    <t>AGYEMANG MARY</t>
  </si>
  <si>
    <t>AHIABA WILLIAM</t>
  </si>
  <si>
    <t>ANTWI DENNIS</t>
  </si>
  <si>
    <t>AYIN KINGSFORD</t>
  </si>
  <si>
    <t>BAIDEN DANIELLA</t>
  </si>
  <si>
    <t>BOAKYEWAA MARFO</t>
  </si>
  <si>
    <t>BOTCHWAY OHENEBA</t>
  </si>
  <si>
    <t>DZINADO FRANCISCA</t>
  </si>
  <si>
    <t>GBADAM ELVIS</t>
  </si>
  <si>
    <t>GHANSAH EMMANUELLA</t>
  </si>
  <si>
    <t>GLAH JEREMY</t>
  </si>
  <si>
    <t>ISMAILA SAIDA</t>
  </si>
  <si>
    <t>LARYEA CHRISTABEL</t>
  </si>
  <si>
    <t>MENSAH OSCAR</t>
  </si>
  <si>
    <t>MOHAMMED ISMAIL AMEIRA</t>
  </si>
  <si>
    <t>MUMIN ABIBA</t>
  </si>
  <si>
    <t>NUNOO JULIANA</t>
  </si>
  <si>
    <t>TETTEH OSMOND</t>
  </si>
  <si>
    <t>TETTEY DEDE VANESSA</t>
  </si>
  <si>
    <t>TUDJI FREDERICK</t>
  </si>
  <si>
    <t>WEPIA EMMANUELLA</t>
  </si>
  <si>
    <t>WOTORDZOR JUSTICE</t>
  </si>
  <si>
    <t>ABDUL-KADIR AYISHA</t>
  </si>
  <si>
    <t>ABDUL-MAJID SUAD</t>
  </si>
  <si>
    <t>AGBO KELVIN</t>
  </si>
  <si>
    <t>AGYEMANG JUDE</t>
  </si>
  <si>
    <t>AHEVOR BENEDICTA</t>
  </si>
  <si>
    <t>AMANKWAH AZARIAH</t>
  </si>
  <si>
    <t>APUTU ISABELLE</t>
  </si>
  <si>
    <t>ASEIDU GLORIA</t>
  </si>
  <si>
    <t>ATINGA OBED</t>
  </si>
  <si>
    <t>AWATEY MAUREEN</t>
  </si>
  <si>
    <t>AYER PRINCE</t>
  </si>
  <si>
    <t>AYIVI SELASI</t>
  </si>
  <si>
    <t>BADASU FAUSTINA</t>
  </si>
  <si>
    <t>CUDJOE PHINEHAS</t>
  </si>
  <si>
    <t>DAWDA MUFIDA</t>
  </si>
  <si>
    <t>EGU GODWIN</t>
  </si>
  <si>
    <t>GAWUGA LAWRENCE</t>
  </si>
  <si>
    <t>KITSIPUI ROBERTA</t>
  </si>
  <si>
    <t>MARTEY AGYEMANG CHERUBIM</t>
  </si>
  <si>
    <t>MENSAH FREDA</t>
  </si>
  <si>
    <t>NADOR EMMANUELLA</t>
  </si>
  <si>
    <t>NORTEY CHRISTABEL</t>
  </si>
  <si>
    <t>OPOKU GRACE</t>
  </si>
  <si>
    <t>OPPONG GIFTED</t>
  </si>
  <si>
    <t>OWUSU MINTAH EBENEZER</t>
  </si>
  <si>
    <t>TAYLOR JENEF</t>
  </si>
  <si>
    <t>TSAGLI GIFTY</t>
  </si>
  <si>
    <t>ABUSAH EMMANUELLA</t>
  </si>
  <si>
    <t>ADDO MICHAEL</t>
  </si>
  <si>
    <t>AFRIYIE CHRISTABEL</t>
  </si>
  <si>
    <t>AHIABA SEFA MICHAEL</t>
  </si>
  <si>
    <t>AMOAH WINIFRED</t>
  </si>
  <si>
    <t>AMOAKO EMMANUEL</t>
  </si>
  <si>
    <t>ASEMDI CALEB</t>
  </si>
  <si>
    <t>BINNEY AARON</t>
  </si>
  <si>
    <t>COLE JETHRO</t>
  </si>
  <si>
    <t>DARBY JOHNNY</t>
  </si>
  <si>
    <t>DETSU DAVID</t>
  </si>
  <si>
    <t>DZISAH KELVIN</t>
  </si>
  <si>
    <t>ETSE CHRISMAN</t>
  </si>
  <si>
    <t>GEMEGAH SELORM</t>
  </si>
  <si>
    <t>KOOMSON CHRISTABEL</t>
  </si>
  <si>
    <t>KORDORWU DELIA</t>
  </si>
  <si>
    <t>MUSAH MOHAMMED</t>
  </si>
  <si>
    <t>NARH PRISCILLA</t>
  </si>
  <si>
    <t>OFORI RITA</t>
  </si>
  <si>
    <t>OSEI BONSU VALMA</t>
  </si>
  <si>
    <t>QUAYE KISH</t>
  </si>
  <si>
    <t>SARPONG NICHOLAS</t>
  </si>
  <si>
    <t>VORDZORGBE FLORENCE</t>
  </si>
  <si>
    <t>WELBERT SETHINA SHINE</t>
  </si>
  <si>
    <t>OTOO CHRISTABEL</t>
  </si>
  <si>
    <t>BASIC 9B</t>
  </si>
  <si>
    <t>BASIC 9A</t>
  </si>
  <si>
    <t>ATTIOGBE DELADEM</t>
  </si>
  <si>
    <t>KORMEGBE SEYRAM JANICE</t>
  </si>
  <si>
    <t>AKUAMOAH RANSFORD</t>
  </si>
  <si>
    <t>ADDEY JERRY</t>
  </si>
  <si>
    <t>AZAMETI GRACE</t>
  </si>
  <si>
    <t>ONAI SHANTEL</t>
  </si>
  <si>
    <t>RUFAI SUHYINI</t>
  </si>
  <si>
    <t>MOHAMMED SHABAN</t>
  </si>
  <si>
    <t>SORKPOR SHOWERS</t>
  </si>
  <si>
    <t>AKORTIA ADU ERICA</t>
  </si>
  <si>
    <t>AMPONSAH GERALD</t>
  </si>
  <si>
    <t>NARTEY AKLEY LORDINA</t>
  </si>
  <si>
    <t>ADDO G. VANESSA</t>
  </si>
  <si>
    <t>AMOAH ASEDA</t>
  </si>
  <si>
    <t>YAKUBU ABDUL-MUMIN</t>
  </si>
  <si>
    <t>TSIKATA MAKAFUI JEFFERY</t>
  </si>
  <si>
    <t>ADONU MAKAFUI</t>
  </si>
  <si>
    <t>AWUKU MICHAEL</t>
  </si>
  <si>
    <t>ACQUAYE RUELE</t>
  </si>
  <si>
    <t>BOTWE EBENEZER</t>
  </si>
  <si>
    <t>ENNING BELISA</t>
  </si>
  <si>
    <t>ALORWUYIE FOLI X GIDEON</t>
  </si>
  <si>
    <t>LARTEY JASON</t>
  </si>
  <si>
    <t>LUKMAN MOHAMMED</t>
  </si>
  <si>
    <t>ARTHUR AMAKYE</t>
  </si>
  <si>
    <t>KUMI ASEYE PHOEBE</t>
  </si>
  <si>
    <t>SEKU JOANA</t>
  </si>
  <si>
    <t>SEKU JOSEPH</t>
  </si>
  <si>
    <t>ARTHUR NANA NHYIRABA RIGHTEOUS</t>
  </si>
  <si>
    <t>AMPONSAH BERNICE</t>
  </si>
  <si>
    <t>KOSIPAH JOYCELYN</t>
  </si>
  <si>
    <t>AHAKUTOR GIFTY</t>
  </si>
  <si>
    <t>OTOO AUGUSTINA</t>
  </si>
  <si>
    <t>OWUSU-NSAFOAH DUKE</t>
  </si>
  <si>
    <t>AMPONSAH N. T GEOGETTE</t>
  </si>
  <si>
    <t>KORANTENG DANIEL</t>
  </si>
  <si>
    <t>AMPONSAH KWAKU JEREMIAH</t>
  </si>
  <si>
    <t>ARHINFUL NANA KOJO AKYAMFO</t>
  </si>
  <si>
    <t>AHORLU WILHEM</t>
  </si>
  <si>
    <t>CXZQQ</t>
  </si>
  <si>
    <t>ANNOR PERPETUAL</t>
  </si>
  <si>
    <t>ANNOR ANNABEL</t>
  </si>
  <si>
    <t>LAWEH ISAAC</t>
  </si>
  <si>
    <t>LAWEH MICAH</t>
  </si>
  <si>
    <t>ZUURI ELIKPLIM KAREN</t>
  </si>
  <si>
    <t>ODOOM BLESSING</t>
  </si>
  <si>
    <t>FRIMPONGMAA ADLAIDE</t>
  </si>
  <si>
    <t>OWUSU-NSAFOAH DUTCHESS</t>
  </si>
  <si>
    <t>SARFO OSEI NYAMENAYE</t>
  </si>
  <si>
    <t>OSMAN KADIJAH</t>
  </si>
  <si>
    <t>ACQUAH REGINALD</t>
  </si>
  <si>
    <t>ACQUAH RENIEL</t>
  </si>
  <si>
    <t>KPELI NATHANIEL</t>
  </si>
  <si>
    <t>ANSAH BLESSING</t>
  </si>
  <si>
    <t>DORMEDZOE BLESSING</t>
  </si>
  <si>
    <t>BRUCE ROMELIA</t>
  </si>
  <si>
    <t>OTOO REDEEMER</t>
  </si>
  <si>
    <t>AGYAPONG JERRY</t>
  </si>
  <si>
    <t>ATINGA INNOCENT</t>
  </si>
  <si>
    <t>DANQUAH PETRA</t>
  </si>
  <si>
    <t>OWUSU FODJOUR ROCK</t>
  </si>
  <si>
    <t>FOSU QUARM HUGO</t>
  </si>
  <si>
    <t>TETTEH NAA JOY</t>
  </si>
  <si>
    <t>AYILGIA MARY</t>
  </si>
  <si>
    <t>SORKPOR KEKELI AUGUSTINE</t>
  </si>
  <si>
    <t>ADU KUMI JOHNSON</t>
  </si>
  <si>
    <t>NYARKO JONAS</t>
  </si>
  <si>
    <t>ABEKAH CATHRINE</t>
  </si>
  <si>
    <t>KUNYE ETORANAM JUDITH</t>
  </si>
  <si>
    <t>OMAN THELMA</t>
  </si>
  <si>
    <t>HAMMOND ANGELA</t>
  </si>
  <si>
    <t>ATTIOGBE AIDEN DZIDULA</t>
  </si>
  <si>
    <t>2025-26</t>
  </si>
  <si>
    <t>ABDUL RAZAK WUNAM NAJAT</t>
  </si>
  <si>
    <t>MOHAMMED SALAMATU</t>
  </si>
  <si>
    <t>AMISSAH NKUNIM ELEANOR</t>
  </si>
  <si>
    <t>LUKMAN SALIMA HUMMU</t>
  </si>
  <si>
    <t>QUAYE QUEEN KEREN</t>
  </si>
  <si>
    <t xml:space="preserve">AMENOUHU KLENAM ORIANA </t>
  </si>
  <si>
    <t>AMOAKO MAWULORM GRACE</t>
  </si>
  <si>
    <t>FIAGBENYA KLENAM MAYNARD</t>
  </si>
  <si>
    <t>GYAMFI GIFTED</t>
  </si>
  <si>
    <t>AMETEPE PRECIOUS</t>
  </si>
  <si>
    <t>OKRAH PEREZ</t>
  </si>
  <si>
    <t>ASAMANTI DEARER</t>
  </si>
  <si>
    <t>ASAMANTI BLISS</t>
  </si>
  <si>
    <t>KUADZI EVELYN</t>
  </si>
  <si>
    <t>KORLI NARH JONATHAN</t>
  </si>
  <si>
    <t>AKUFFO ELIZABETH</t>
  </si>
  <si>
    <t>WIREKO ELIANNA</t>
  </si>
  <si>
    <t>QUANSAH DIGNITY</t>
  </si>
  <si>
    <t>DAGBANU CHRISTABEL</t>
  </si>
  <si>
    <t>NKRUMAH FRIMPONG THELMA</t>
  </si>
  <si>
    <t>MARINO FAYISON</t>
  </si>
  <si>
    <t>OWUSU PEPRAH ISAAC</t>
  </si>
  <si>
    <t>BOADI SOLOMON</t>
  </si>
  <si>
    <t>SADIQ ABDUL-SOBUR</t>
  </si>
  <si>
    <t>KPELI SENAM</t>
  </si>
  <si>
    <t>KPELI SEYRAM</t>
  </si>
  <si>
    <t>ADEPA JAYDA</t>
  </si>
  <si>
    <t>AVISON SELORM</t>
  </si>
  <si>
    <t>DANQUAH BENYI DAVINA</t>
  </si>
  <si>
    <t>DZOKOTO BERNICE</t>
  </si>
  <si>
    <t>GYAMFI BERVELYN</t>
  </si>
  <si>
    <t>TEYE RADIANT</t>
  </si>
  <si>
    <t>MOHAMMED ZAINAB</t>
  </si>
  <si>
    <t>NAZIRU BILIKIES</t>
  </si>
  <si>
    <t>BOAKYE YIADOM NOBLE</t>
  </si>
  <si>
    <t>GAISIE BRUCE</t>
  </si>
  <si>
    <t>AMOAH BRYAN</t>
  </si>
  <si>
    <t>DOKU TRANSCEND</t>
  </si>
  <si>
    <t>AGYEI ISSABELLA</t>
  </si>
  <si>
    <t>AGYEI ELIZABETH</t>
  </si>
  <si>
    <t>AGYEI SAMUEL</t>
  </si>
  <si>
    <t>DEWORNU MAWULOLO WISDOM</t>
  </si>
  <si>
    <t>WILLIAM JERRY</t>
  </si>
  <si>
    <t>AGBODZA EMMANUELLA</t>
  </si>
  <si>
    <t>EYITI KESTER</t>
  </si>
  <si>
    <t>DEDZO FLORENCE</t>
  </si>
  <si>
    <t>BUA AYISHA</t>
  </si>
  <si>
    <t>MOHAMMED AMIRA</t>
  </si>
  <si>
    <t>KWAKYE JEFFERY</t>
  </si>
  <si>
    <t>SISU MUJAHID</t>
  </si>
  <si>
    <t>OSWALD HORLALI GIDEON</t>
  </si>
  <si>
    <t>KORMEGBE JEFFERY</t>
  </si>
  <si>
    <t>ABABIO SEYRAM ELOISE</t>
  </si>
  <si>
    <t>ABAYATEYE GODWILL</t>
  </si>
  <si>
    <t>ABAYATEYE LORD</t>
  </si>
  <si>
    <t>ADJEI OFORI YAWUHCEPH</t>
  </si>
  <si>
    <t>ADJEI OFORI ELIYSHEVA</t>
  </si>
  <si>
    <t>ADJEI OFORI CLEVESTER</t>
  </si>
  <si>
    <t>ASARE NYAMEKYE</t>
  </si>
  <si>
    <t>KWOFIE NANA ABA</t>
  </si>
  <si>
    <t xml:space="preserve">           </t>
  </si>
  <si>
    <t>KORDORWU VIRGIL WISE</t>
  </si>
  <si>
    <t>SEX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</si>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</sst>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20"/>
      <color rgb="FFFFFF00"/>
      <name val="Lucida Calligraphy"/>
      <family val="4"/>
    </font>
    <font>
      <b/>
      <u/>
      <sz val="14"/>
      <color theme="0"/>
      <name val="Andalus"/>
      <family val="1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u/>
      <sz val="35"/>
      <color rgb="FFFFFF00"/>
      <name val="Lucida Calligraphy"/>
      <family val="4"/>
    </font>
    <font>
      <b/>
      <sz val="25"/>
      <color theme="0"/>
      <name val="Lucida Calligraphy"/>
      <family val="4"/>
    </font>
    <font>
      <b/>
      <sz val="12"/>
      <color theme="0"/>
      <name val="Calibri"/>
      <family val="2"/>
      <scheme val="minor"/>
    </font>
    <font>
      <sz val="35"/>
      <color theme="1"/>
      <name val="Lucida Calligraphy"/>
      <family val="4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43" fontId="13" fillId="0" borderId="0" applyFont="0" applyFill="0" applyBorder="0" applyAlignment="0" applyProtection="0"/>
  </cellStyleXfs>
  <cellXfs count="69">
    <xf numFmtId="0" fontId="0" fillId="0" borderId="0" xfId="0"/>
    <xf numFmtId="0" fontId="1" fillId="2" borderId="5" xfId="0" applyFont="1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3" borderId="5" xfId="0" applyFont="1" applyFill="1" applyBorder="1"/>
    <xf numFmtId="0" fontId="1" fillId="3" borderId="5" xfId="0" applyFont="1" applyFill="1" applyBorder="1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wrapText="1"/>
    </xf>
    <xf numFmtId="0" fontId="7" fillId="3" borderId="5" xfId="1" applyFont="1" applyFill="1" applyBorder="1" applyAlignment="1" applyProtection="1">
      <alignment horizontal="center" vertical="center"/>
    </xf>
    <xf numFmtId="0" fontId="3" fillId="4" borderId="5" xfId="1" applyFill="1" applyBorder="1" applyAlignment="1" applyProtection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7" fillId="2" borderId="5" xfId="1" applyFont="1" applyFill="1" applyBorder="1" applyAlignment="1" applyProtection="1">
      <alignment horizontal="center" vertical="center"/>
    </xf>
    <xf numFmtId="0" fontId="0" fillId="5" borderId="0" xfId="0" applyFill="1"/>
    <xf numFmtId="0" fontId="0" fillId="5" borderId="0" xfId="0" applyFill="1" applyAlignment="1">
      <alignment wrapText="1"/>
    </xf>
    <xf numFmtId="0" fontId="8" fillId="2" borderId="7" xfId="0" applyFont="1" applyFill="1" applyBorder="1" applyAlignment="1">
      <alignment horizontal="center" vertical="center" wrapText="1"/>
    </xf>
    <xf numFmtId="0" fontId="1" fillId="2" borderId="12" xfId="0" applyFont="1" applyFill="1" applyBorder="1"/>
    <xf numFmtId="14" fontId="1" fillId="2" borderId="0" xfId="0" applyNumberFormat="1" applyFont="1" applyFill="1"/>
    <xf numFmtId="14" fontId="1" fillId="3" borderId="5" xfId="0" applyNumberFormat="1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14" fontId="1" fillId="2" borderId="5" xfId="0" applyNumberFormat="1" applyFont="1" applyFill="1" applyBorder="1" applyAlignment="1">
      <alignment horizontal="left"/>
    </xf>
    <xf numFmtId="0" fontId="12" fillId="6" borderId="15" xfId="0" applyFont="1" applyFill="1" applyBorder="1" applyAlignment="1">
      <alignment vertical="center"/>
    </xf>
    <xf numFmtId="0" fontId="0" fillId="6" borderId="15" xfId="0" applyFill="1" applyBorder="1"/>
    <xf numFmtId="0" fontId="2" fillId="6" borderId="15" xfId="0" applyFont="1" applyFill="1" applyBorder="1"/>
    <xf numFmtId="0" fontId="2" fillId="6" borderId="15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left" vertical="center" wrapText="1"/>
    </xf>
    <xf numFmtId="0" fontId="2" fillId="6" borderId="15" xfId="0" applyFont="1" applyFill="1" applyBorder="1" applyAlignment="1">
      <alignment horizontal="right"/>
    </xf>
    <xf numFmtId="0" fontId="2" fillId="6" borderId="15" xfId="0" applyFont="1" applyFill="1" applyBorder="1" applyAlignment="1">
      <alignment horizontal="left"/>
    </xf>
    <xf numFmtId="0" fontId="0" fillId="6" borderId="15" xfId="0" applyFill="1" applyBorder="1" applyAlignment="1">
      <alignment horizontal="center" vertical="center" wrapText="1"/>
    </xf>
    <xf numFmtId="17" fontId="2" fillId="6" borderId="15" xfId="0" applyNumberFormat="1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/>
    </xf>
    <xf numFmtId="43" fontId="2" fillId="6" borderId="15" xfId="2" applyFont="1" applyFill="1" applyBorder="1"/>
    <xf numFmtId="0" fontId="2" fillId="6" borderId="15" xfId="0" applyFont="1" applyFill="1" applyBorder="1" applyAlignment="1">
      <alignment horizontal="right"/>
    </xf>
    <xf numFmtId="0" fontId="0" fillId="6" borderId="15" xfId="0" applyFill="1" applyBorder="1"/>
    <xf numFmtId="0" fontId="2" fillId="6" borderId="15" xfId="0" applyFont="1" applyFill="1" applyBorder="1"/>
    <xf numFmtId="0" fontId="12" fillId="6" borderId="15" xfId="0" applyFont="1" applyFill="1" applyBorder="1" applyAlignment="1">
      <alignment horizontal="center" vertical="center"/>
    </xf>
    <xf numFmtId="0" fontId="7" fillId="2" borderId="5" xfId="1" applyFont="1" applyFill="1" applyBorder="1" applyAlignment="1" applyProtection="1">
      <alignment horizontal="right" vertical="center"/>
    </xf>
    <xf numFmtId="0" fontId="9" fillId="2" borderId="5" xfId="1" applyFont="1" applyFill="1" applyBorder="1" applyAlignment="1" applyProtection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1" fillId="2" borderId="9" xfId="0" applyFont="1" applyFill="1" applyBorder="1" applyAlignment="1">
      <alignment horizontal="right"/>
    </xf>
    <xf numFmtId="0" fontId="11" fillId="2" borderId="1" xfId="0" applyFont="1" applyFill="1" applyBorder="1" applyAlignment="1">
      <alignment wrapText="1"/>
    </xf>
    <xf numFmtId="0" fontId="11" fillId="2" borderId="2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13" xfId="0" applyFont="1" applyFill="1" applyBorder="1" applyAlignment="1">
      <alignment wrapText="1"/>
    </xf>
    <xf numFmtId="0" fontId="11" fillId="2" borderId="0" xfId="0" applyFont="1" applyFill="1" applyAlignment="1">
      <alignment wrapText="1"/>
    </xf>
    <xf numFmtId="0" fontId="11" fillId="2" borderId="14" xfId="0" applyFont="1" applyFill="1" applyBorder="1" applyAlignment="1">
      <alignment wrapText="1"/>
    </xf>
    <xf numFmtId="0" fontId="11" fillId="2" borderId="3" xfId="0" applyFont="1" applyFill="1" applyBorder="1" applyAlignment="1">
      <alignment wrapText="1"/>
    </xf>
    <xf numFmtId="0" fontId="11" fillId="2" borderId="4" xfId="0" applyFont="1" applyFill="1" applyBorder="1" applyAlignment="1">
      <alignment wrapText="1"/>
    </xf>
    <xf numFmtId="0" fontId="1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/>
    <xf numFmtId="0" fontId="1" fillId="2" borderId="10" xfId="0" applyFont="1" applyFill="1" applyBorder="1"/>
    <xf numFmtId="0" fontId="1" fillId="2" borderId="9" xfId="0" applyFont="1" applyFill="1" applyBorder="1"/>
  </cellXfs>
  <cellStyles count="3">
    <cellStyle name="Comma" xfId="2" builtinId="3"/>
    <cellStyle name="Hyperlink" xfId="1" builtinId="8"/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9526</xdr:colOff>
      <xdr:row>1</xdr:row>
      <xdr:rowOff>9526</xdr:rowOff>
    </xdr:from>
    <xdr:to>
      <xdr:col>8</xdr:col>
      <xdr:colOff>1080592</xdr:colOff>
      <xdr:row>2</xdr:row>
      <xdr:rowOff>457200</xdr:rowOff>
    </xdr:to>
    <xdr:pic>
      <xdr:nvPicPr>
        <xdr:cNvPr id="2" name="Picture 1" descr="Logo International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9901" y="209551"/>
          <a:ext cx="1071066" cy="1095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xceldatapro.com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0"/>
  <sheetViews>
    <sheetView zoomScale="110" zoomScaleNormal="110" workbookViewId="0">
      <selection activeCell="C28" sqref="C28"/>
    </sheetView>
  </sheetViews>
  <sheetFormatPr defaultRowHeight="14.25"/>
  <cols>
    <col min="1" max="1" width="3.1328125" customWidth="1"/>
    <col min="4" max="4" width="14.265625" bestFit="1" customWidth="1"/>
    <col min="5" max="5" width="17.59765625" customWidth="1"/>
    <col min="6" max="9" width="16.265625" customWidth="1"/>
    <col min="10" max="10" width="3.1328125" customWidth="1"/>
  </cols>
  <sheetData>
    <row r="1" spans="1:10" ht="14.65" thickBot="1">
      <c r="A1" s="13"/>
      <c r="B1" s="13"/>
      <c r="C1" s="13"/>
      <c r="D1" s="13"/>
      <c r="E1" s="13"/>
      <c r="F1" s="13"/>
      <c r="G1" s="13"/>
      <c r="H1" s="13"/>
      <c r="I1" s="13"/>
      <c r="J1" s="13"/>
    </row>
    <row r="2" spans="1:10" ht="46.9" thickBot="1">
      <c r="A2" s="13"/>
      <c r="B2" s="38" t="s">
        <v>49</v>
      </c>
      <c r="C2" s="38"/>
      <c r="D2" s="38"/>
      <c r="E2" s="38"/>
      <c r="F2" s="38"/>
      <c r="G2" s="38"/>
      <c r="H2" s="38"/>
      <c r="I2" s="40"/>
      <c r="J2" s="13"/>
    </row>
    <row r="3" spans="1:10" ht="36.75" customHeight="1" thickBot="1">
      <c r="A3" s="13"/>
      <c r="B3" s="39" t="s">
        <v>38</v>
      </c>
      <c r="C3" s="39"/>
      <c r="D3" s="39"/>
      <c r="E3" s="39"/>
      <c r="F3" s="39"/>
      <c r="G3" s="39"/>
      <c r="H3" s="39"/>
      <c r="I3" s="41"/>
      <c r="J3" s="13"/>
    </row>
    <row r="4" spans="1:10" ht="14.65" thickBot="1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ht="17.649999999999999" thickBot="1">
      <c r="A5" s="13"/>
      <c r="B5" s="42" t="s">
        <v>50</v>
      </c>
      <c r="C5" s="42"/>
      <c r="D5" s="42"/>
      <c r="E5" s="42"/>
      <c r="F5" s="42"/>
      <c r="G5" s="42"/>
      <c r="H5" s="42"/>
      <c r="I5" s="42"/>
      <c r="J5" s="13"/>
    </row>
    <row r="6" spans="1:10" ht="14.65" thickBot="1">
      <c r="A6" s="13"/>
      <c r="B6" s="43"/>
      <c r="C6" s="44"/>
      <c r="D6" s="44"/>
      <c r="E6" s="45"/>
      <c r="F6" s="3" t="s">
        <v>34</v>
      </c>
      <c r="G6" s="5" t="s">
        <v>682</v>
      </c>
      <c r="H6" s="46"/>
      <c r="I6" s="47"/>
      <c r="J6" s="13"/>
    </row>
    <row r="7" spans="1:10" s="7" customFormat="1" ht="43.15" customHeight="1" thickBot="1">
      <c r="A7" s="14"/>
      <c r="B7" s="48" t="s">
        <v>41</v>
      </c>
      <c r="C7" s="48"/>
      <c r="D7" s="48"/>
      <c r="E7" s="11" t="s">
        <v>42</v>
      </c>
      <c r="F7" s="11" t="s">
        <v>46</v>
      </c>
      <c r="G7" s="15" t="s">
        <v>48</v>
      </c>
      <c r="H7" s="15" t="s">
        <v>43</v>
      </c>
      <c r="I7" s="15" t="s">
        <v>47</v>
      </c>
      <c r="J7" s="14"/>
    </row>
    <row r="8" spans="1:10" ht="30.75" customHeight="1" thickBot="1">
      <c r="A8" s="13"/>
      <c r="B8" s="3" t="s">
        <v>0</v>
      </c>
      <c r="C8" s="3" t="s">
        <v>37</v>
      </c>
      <c r="D8" s="2" t="s">
        <v>39</v>
      </c>
      <c r="E8" s="2" t="s">
        <v>40</v>
      </c>
      <c r="F8" s="10" t="s">
        <v>44</v>
      </c>
      <c r="G8" s="10" t="s">
        <v>44</v>
      </c>
      <c r="H8" s="10" t="s">
        <v>44</v>
      </c>
      <c r="I8" s="10"/>
      <c r="J8" s="13"/>
    </row>
    <row r="9" spans="1:10" ht="15.75" customHeight="1" thickBot="1">
      <c r="A9" s="13"/>
      <c r="B9" s="8" t="s">
        <v>53</v>
      </c>
      <c r="C9" s="5">
        <v>650</v>
      </c>
      <c r="D9" s="9" t="str">
        <f>HYPERLINK("#"&amp;"'Fee Receipt (Class-wise)'!C2",B9)</f>
        <v xml:space="preserve"> CRECHE</v>
      </c>
      <c r="E9" s="9" t="str">
        <f>HYPERLINK("#"&amp;"'Fee Pending (Class-wise)'!C3",B9)</f>
        <v xml:space="preserve"> CRECHE</v>
      </c>
      <c r="F9" s="12">
        <f>C9*49</f>
        <v>31850</v>
      </c>
      <c r="G9" s="12">
        <f>F9-H9</f>
        <v>7860</v>
      </c>
      <c r="H9" s="12">
        <f>'Fee Receipt (Class-wise)'!K65</f>
        <v>23990</v>
      </c>
      <c r="I9" s="12">
        <f>F9-(G9+H9)</f>
        <v>0</v>
      </c>
      <c r="J9" s="13"/>
    </row>
    <row r="10" spans="1:10" ht="15.75" customHeight="1" thickBot="1">
      <c r="A10" s="13"/>
      <c r="B10" s="8" t="s">
        <v>54</v>
      </c>
      <c r="C10" s="5">
        <v>650</v>
      </c>
      <c r="D10" s="9" t="str">
        <f>HYPERLINK("#"&amp;"'Fee Receipt (Class-wise)'!C69",B10)</f>
        <v>Nur-1</v>
      </c>
      <c r="E10" s="9" t="str">
        <f>HYPERLINK("#"&amp;"'Fee Pending (Class-wise)'!C40",B10)</f>
        <v>Nur-1</v>
      </c>
      <c r="F10" s="12">
        <f>C10*54</f>
        <v>35100</v>
      </c>
      <c r="G10" s="12">
        <f t="shared" ref="G10:G31" si="0">F10-H10</f>
        <v>9250</v>
      </c>
      <c r="H10" s="12">
        <f>'Fee Receipt (Class-wise)'!K132</f>
        <v>25850</v>
      </c>
      <c r="I10" s="12">
        <f t="shared" ref="I10:I39" si="1">F10-(G10+H10)</f>
        <v>0</v>
      </c>
      <c r="J10" s="13"/>
    </row>
    <row r="11" spans="1:10" ht="15.75" customHeight="1" thickBot="1">
      <c r="A11" s="13"/>
      <c r="B11" s="8" t="s">
        <v>55</v>
      </c>
      <c r="C11" s="5">
        <v>650</v>
      </c>
      <c r="D11" s="9" t="str">
        <f>HYPERLINK("#"&amp;"'Fee Receipt (Class-wise)'!C136",B11)</f>
        <v>Nur-2</v>
      </c>
      <c r="E11" s="9" t="str">
        <f>HYPERLINK("#"&amp;"'Fee Pending (Class-wise)'!C77",B11)</f>
        <v>Nur-2</v>
      </c>
      <c r="F11" s="12">
        <f t="shared" ref="F11:F31" si="2">C11*60</f>
        <v>39000</v>
      </c>
      <c r="G11" s="12">
        <f t="shared" si="0"/>
        <v>11790</v>
      </c>
      <c r="H11" s="12">
        <f>'Fee Receipt (Class-wise)'!K199</f>
        <v>27210</v>
      </c>
      <c r="I11" s="12">
        <f t="shared" si="1"/>
        <v>0</v>
      </c>
      <c r="J11" s="13"/>
    </row>
    <row r="12" spans="1:10" ht="15.75" customHeight="1" thickBot="1">
      <c r="A12" s="13"/>
      <c r="B12" s="8" t="s">
        <v>56</v>
      </c>
      <c r="C12" s="5">
        <v>650</v>
      </c>
      <c r="D12" s="9" t="str">
        <f>HYPERLINK("#"&amp;"'Fee Receipt (Class-wise)'!C203",B12)</f>
        <v>KG-1</v>
      </c>
      <c r="E12" s="9" t="str">
        <f>HYPERLINK("#"&amp;"'Fee Pending (Class-wise)'!C114",B12)</f>
        <v>KG-1</v>
      </c>
      <c r="F12" s="12">
        <f t="shared" si="2"/>
        <v>39000</v>
      </c>
      <c r="G12" s="12">
        <f t="shared" si="0"/>
        <v>13900</v>
      </c>
      <c r="H12" s="12">
        <f>'Fee Receipt (Class-wise)'!K266</f>
        <v>25100</v>
      </c>
      <c r="I12" s="12">
        <f t="shared" si="1"/>
        <v>0</v>
      </c>
      <c r="J12" s="13"/>
    </row>
    <row r="13" spans="1:10" ht="15.75" customHeight="1" thickBot="1">
      <c r="A13" s="13"/>
      <c r="B13" s="8" t="s">
        <v>57</v>
      </c>
      <c r="C13" s="5">
        <v>650</v>
      </c>
      <c r="D13" s="9" t="str">
        <f>HYPERLINK("#"&amp;"'Fee Receipt (Class-wise)'!C270",B13)</f>
        <v>KG-2</v>
      </c>
      <c r="E13" s="9" t="str">
        <f>HYPERLINK("#"&amp;"'Fee Pending (Class-wise)'!C151",B13)</f>
        <v>KG-2</v>
      </c>
      <c r="F13" s="12">
        <f t="shared" si="2"/>
        <v>39000</v>
      </c>
      <c r="G13" s="12">
        <f t="shared" si="0"/>
        <v>16640</v>
      </c>
      <c r="H13" s="12">
        <f>'Fee Receipt (Class-wise)'!K333</f>
        <v>22360</v>
      </c>
      <c r="I13" s="12">
        <f t="shared" si="1"/>
        <v>0</v>
      </c>
      <c r="J13" s="13"/>
    </row>
    <row r="14" spans="1:10" ht="15.75" customHeight="1" thickBot="1">
      <c r="A14" s="13"/>
      <c r="B14" s="8" t="s">
        <v>58</v>
      </c>
      <c r="C14" s="5">
        <v>710</v>
      </c>
      <c r="D14" s="9" t="str">
        <f>HYPERLINK("#"&amp;"'Fee Receipt (Class-wise)'!C337",B14)</f>
        <v>BASIC 1A</v>
      </c>
      <c r="E14" s="9" t="str">
        <f>HYPERLINK("#"&amp;"'Fee Pending (Class-wise)'!C188",B14)</f>
        <v>BASIC 1A</v>
      </c>
      <c r="F14" s="12">
        <f t="shared" si="2"/>
        <v>42600</v>
      </c>
      <c r="G14" s="12">
        <f t="shared" si="0"/>
        <v>9600</v>
      </c>
      <c r="H14" s="12">
        <f>'Fee Receipt (Class-wise)'!K400</f>
        <v>33000</v>
      </c>
      <c r="I14" s="12">
        <f t="shared" si="1"/>
        <v>0</v>
      </c>
      <c r="J14" s="13"/>
    </row>
    <row r="15" spans="1:10" ht="14.65" thickBot="1">
      <c r="A15" s="13"/>
      <c r="B15" s="8" t="s">
        <v>59</v>
      </c>
      <c r="C15" s="5">
        <v>710</v>
      </c>
      <c r="D15" s="9" t="str">
        <f>HYPERLINK("#"&amp;"'Fee Receipt (Class-wise)'!C404",B15)</f>
        <v>BASIC 1B</v>
      </c>
      <c r="E15" s="9" t="str">
        <f>HYPERLINK("#"&amp;"'Fee Pending (Class-wise)'!C225",B15)</f>
        <v>BASIC 1B</v>
      </c>
      <c r="F15" s="12">
        <f t="shared" si="2"/>
        <v>42600</v>
      </c>
      <c r="G15" s="12">
        <f t="shared" si="0"/>
        <v>11130</v>
      </c>
      <c r="H15" s="12">
        <f>'Fee Receipt (Class-wise)'!K467</f>
        <v>31470</v>
      </c>
      <c r="I15" s="12">
        <f t="shared" si="1"/>
        <v>0</v>
      </c>
      <c r="J15" s="13"/>
    </row>
    <row r="16" spans="1:10" ht="14.65" thickBot="1">
      <c r="A16" s="13"/>
      <c r="B16" s="8" t="s">
        <v>60</v>
      </c>
      <c r="C16" s="5">
        <v>710</v>
      </c>
      <c r="D16" s="9" t="str">
        <f>HYPERLINK("#"&amp;"'Fee Receipt (Class-wise)'!C471",B16)</f>
        <v>BASIC 2A</v>
      </c>
      <c r="E16" s="9" t="str">
        <f>HYPERLINK("#"&amp;"'Fee Pending (Class-wise)'!C262",B16)</f>
        <v>BASIC 2A</v>
      </c>
      <c r="F16" s="12">
        <f t="shared" si="2"/>
        <v>42600</v>
      </c>
      <c r="G16" s="12">
        <f t="shared" si="0"/>
        <v>10480</v>
      </c>
      <c r="H16" s="12">
        <f>'Fee Receipt (Class-wise)'!K534</f>
        <v>32120</v>
      </c>
      <c r="I16" s="12">
        <f t="shared" si="1"/>
        <v>0</v>
      </c>
      <c r="J16" s="13"/>
    </row>
    <row r="17" spans="1:10" ht="14.65" thickBot="1">
      <c r="A17" s="13"/>
      <c r="B17" s="8" t="s">
        <v>61</v>
      </c>
      <c r="C17" s="5">
        <v>710</v>
      </c>
      <c r="D17" s="9" t="str">
        <f>HYPERLINK("#"&amp;"'Fee Receipt (Class-wise)'!C538",B17)</f>
        <v>BASIC 2B</v>
      </c>
      <c r="E17" s="9" t="str">
        <f>HYPERLINK("#"&amp;"'Fee Pending (Class-wise)'!C299",B17)</f>
        <v>BASIC 2B</v>
      </c>
      <c r="F17" s="12">
        <f t="shared" si="2"/>
        <v>42600</v>
      </c>
      <c r="G17" s="12">
        <f t="shared" si="0"/>
        <v>8870</v>
      </c>
      <c r="H17" s="12">
        <f>'Fee Receipt (Class-wise)'!K601</f>
        <v>33730</v>
      </c>
      <c r="I17" s="12">
        <f t="shared" si="1"/>
        <v>0</v>
      </c>
      <c r="J17" s="13"/>
    </row>
    <row r="18" spans="1:10" ht="14.65" thickBot="1">
      <c r="A18" s="13"/>
      <c r="B18" s="8" t="s">
        <v>62</v>
      </c>
      <c r="C18" s="5">
        <v>710</v>
      </c>
      <c r="D18" s="9" t="str">
        <f>HYPERLINK("#"&amp;"'Fee Receipt (Class-wise)'!C605",B18)</f>
        <v>BASIC 3A</v>
      </c>
      <c r="E18" s="9" t="str">
        <f>HYPERLINK("#"&amp;"'Fee Pending (Class-wise)'!C336",B18)</f>
        <v>BASIC 3A</v>
      </c>
      <c r="F18" s="12">
        <f t="shared" si="2"/>
        <v>42600</v>
      </c>
      <c r="G18" s="12">
        <f t="shared" si="0"/>
        <v>12120</v>
      </c>
      <c r="H18" s="12">
        <f>'Fee Receipt (Class-wise)'!K668</f>
        <v>30480</v>
      </c>
      <c r="I18" s="12">
        <f t="shared" si="1"/>
        <v>0</v>
      </c>
      <c r="J18" s="13"/>
    </row>
    <row r="19" spans="1:10" ht="14.65" thickBot="1">
      <c r="A19" s="13"/>
      <c r="B19" s="8" t="s">
        <v>63</v>
      </c>
      <c r="C19" s="5">
        <v>710</v>
      </c>
      <c r="D19" s="9" t="str">
        <f>HYPERLINK("#"&amp;"'Fee Receipt (Class-wise)'!C672",B19)</f>
        <v>BASIC 3B</v>
      </c>
      <c r="E19" s="9" t="str">
        <f>HYPERLINK("#"&amp;"'Fee Pending (Class-wise)'!C373",B19)</f>
        <v>BASIC 3B</v>
      </c>
      <c r="F19" s="12">
        <f t="shared" si="2"/>
        <v>42600</v>
      </c>
      <c r="G19" s="12">
        <f t="shared" si="0"/>
        <v>14010</v>
      </c>
      <c r="H19" s="12">
        <f>'Fee Receipt (Class-wise)'!K735</f>
        <v>28590</v>
      </c>
      <c r="I19" s="12">
        <f t="shared" si="1"/>
        <v>0</v>
      </c>
      <c r="J19" s="13"/>
    </row>
    <row r="20" spans="1:10" ht="14.65" thickBot="1">
      <c r="A20" s="13"/>
      <c r="B20" s="8" t="s">
        <v>64</v>
      </c>
      <c r="C20" s="5">
        <v>760</v>
      </c>
      <c r="D20" s="9" t="str">
        <f>HYPERLINK("#"&amp;"'Fee Receipt (Class-wise)'!C739",B20)</f>
        <v>BASIC 4A</v>
      </c>
      <c r="E20" s="9" t="str">
        <f>HYPERLINK("#"&amp;"'Fee Pending (Class-wise)'!C410",B20)</f>
        <v>BASIC 4A</v>
      </c>
      <c r="F20" s="12">
        <f t="shared" si="2"/>
        <v>45600</v>
      </c>
      <c r="G20" s="12">
        <f t="shared" si="0"/>
        <v>10660</v>
      </c>
      <c r="H20" s="12">
        <f>'Fee Receipt (Class-wise)'!K802</f>
        <v>34940</v>
      </c>
      <c r="I20" s="12">
        <f t="shared" si="1"/>
        <v>0</v>
      </c>
      <c r="J20" s="13"/>
    </row>
    <row r="21" spans="1:10" ht="14.65" thickBot="1">
      <c r="A21" s="13"/>
      <c r="B21" s="8" t="s">
        <v>65</v>
      </c>
      <c r="C21" s="5">
        <v>760</v>
      </c>
      <c r="D21" s="9" t="str">
        <f>HYPERLINK("#"&amp;"'Fee Receipt (Class-wise)'!C806",B21)</f>
        <v xml:space="preserve">BASIC 4B </v>
      </c>
      <c r="E21" s="9" t="str">
        <f>HYPERLINK("#"&amp;"'Fee Pending (Class-wise)'!C447",B21)</f>
        <v xml:space="preserve">BASIC 4B </v>
      </c>
      <c r="F21" s="12">
        <f t="shared" si="2"/>
        <v>45600</v>
      </c>
      <c r="G21" s="12">
        <f t="shared" si="0"/>
        <v>14010</v>
      </c>
      <c r="H21" s="12">
        <f>'Fee Receipt (Class-wise)'!K869</f>
        <v>31590</v>
      </c>
      <c r="I21" s="12">
        <f t="shared" si="1"/>
        <v>0</v>
      </c>
      <c r="J21" s="13"/>
    </row>
    <row r="22" spans="1:10" ht="14.65" thickBot="1">
      <c r="A22" s="13"/>
      <c r="B22" s="8" t="s">
        <v>66</v>
      </c>
      <c r="C22" s="5">
        <v>760</v>
      </c>
      <c r="D22" s="9" t="str">
        <f>HYPERLINK("#"&amp;"'Fee Receipt (Class-wise)'!C873",B22)</f>
        <v>BASIC 5A</v>
      </c>
      <c r="E22" s="9" t="str">
        <f>HYPERLINK("#"&amp;"'Fee Pending (Class-wise)'!C484",B22)</f>
        <v>BASIC 5A</v>
      </c>
      <c r="F22" s="12">
        <f t="shared" si="2"/>
        <v>45600</v>
      </c>
      <c r="G22" s="12">
        <f t="shared" si="0"/>
        <v>15750</v>
      </c>
      <c r="H22" s="12">
        <f>'Fee Receipt (Class-wise)'!K936</f>
        <v>29850</v>
      </c>
      <c r="I22" s="12">
        <f t="shared" si="1"/>
        <v>0</v>
      </c>
      <c r="J22" s="13"/>
    </row>
    <row r="23" spans="1:10" ht="14.65" thickBot="1">
      <c r="A23" s="13"/>
      <c r="B23" s="8" t="s">
        <v>67</v>
      </c>
      <c r="C23" s="5">
        <v>760</v>
      </c>
      <c r="D23" s="9" t="str">
        <f>HYPERLINK("#"&amp;"'Fee Receipt (Class-wise)'!C940",B23)</f>
        <v>BASIC 5B</v>
      </c>
      <c r="E23" s="9" t="str">
        <f>HYPERLINK("#"&amp;"'Fee Pending (Class-wise)'!C521",B23)</f>
        <v>BASIC 5B</v>
      </c>
      <c r="F23" s="12">
        <f t="shared" si="2"/>
        <v>45600</v>
      </c>
      <c r="G23" s="12">
        <f t="shared" si="0"/>
        <v>17390</v>
      </c>
      <c r="H23" s="12">
        <f>'Fee Receipt (Class-wise)'!K1003</f>
        <v>28210</v>
      </c>
      <c r="I23" s="12">
        <f t="shared" si="1"/>
        <v>0</v>
      </c>
      <c r="J23" s="13"/>
    </row>
    <row r="24" spans="1:10" ht="14.65" thickBot="1">
      <c r="A24" s="13"/>
      <c r="B24" s="8" t="s">
        <v>68</v>
      </c>
      <c r="C24" s="5">
        <v>760</v>
      </c>
      <c r="D24" s="9" t="str">
        <f>HYPERLINK("#"&amp;"'Fee Receipt (Class-wise)'!C1007",B24)</f>
        <v>BASIC 6A</v>
      </c>
      <c r="E24" s="9" t="str">
        <f>HYPERLINK("#"&amp;"'Fee Pending (Class-wise)'!C558",B24)</f>
        <v>BASIC 6A</v>
      </c>
      <c r="F24" s="12">
        <f t="shared" si="2"/>
        <v>45600</v>
      </c>
      <c r="G24" s="12">
        <f t="shared" si="0"/>
        <v>18320</v>
      </c>
      <c r="H24" s="12">
        <f>'Fee Receipt (Class-wise)'!K1070</f>
        <v>27280</v>
      </c>
      <c r="I24" s="12">
        <f t="shared" si="1"/>
        <v>0</v>
      </c>
      <c r="J24" s="13"/>
    </row>
    <row r="25" spans="1:10" ht="14.65" thickBot="1">
      <c r="A25" s="13"/>
      <c r="B25" s="8" t="s">
        <v>69</v>
      </c>
      <c r="C25" s="5">
        <v>760</v>
      </c>
      <c r="D25" s="9" t="str">
        <f>HYPERLINK("#"&amp;"'Fee Receipt (Class-wise)'!C1074",B25)</f>
        <v>BASIC 6B</v>
      </c>
      <c r="E25" s="9" t="str">
        <f>HYPERLINK("#"&amp;"'Fee Pending (Class-wise)'!C595",B25)</f>
        <v>BASIC 6B</v>
      </c>
      <c r="F25" s="12">
        <f t="shared" si="2"/>
        <v>45600</v>
      </c>
      <c r="G25" s="12">
        <f t="shared" si="0"/>
        <v>14620</v>
      </c>
      <c r="H25" s="12">
        <f>'Fee Receipt (Class-wise)'!K1137</f>
        <v>30980</v>
      </c>
      <c r="I25" s="12">
        <f t="shared" si="1"/>
        <v>0</v>
      </c>
      <c r="J25" s="13"/>
    </row>
    <row r="26" spans="1:10" ht="14.65" thickBot="1">
      <c r="A26" s="13"/>
      <c r="B26" s="8" t="s">
        <v>70</v>
      </c>
      <c r="C26" s="5">
        <v>980</v>
      </c>
      <c r="D26" s="9" t="str">
        <f>HYPERLINK("#"&amp;"'Fee Receipt (Class-wise)'!C1141",B26)</f>
        <v>BASIC 7A</v>
      </c>
      <c r="E26" s="9" t="str">
        <f>HYPERLINK("#"&amp;"'Fee Pending (Class-wise)'!C632",B26)</f>
        <v>BASIC 7A</v>
      </c>
      <c r="F26" s="12">
        <f t="shared" si="2"/>
        <v>58800</v>
      </c>
      <c r="G26" s="12">
        <f t="shared" si="0"/>
        <v>15690</v>
      </c>
      <c r="H26" s="12">
        <f>'Fee Receipt (Class-wise)'!K1204</f>
        <v>43110</v>
      </c>
      <c r="I26" s="12">
        <f t="shared" si="1"/>
        <v>0</v>
      </c>
      <c r="J26" s="13"/>
    </row>
    <row r="27" spans="1:10" ht="14.65" thickBot="1">
      <c r="A27" s="13"/>
      <c r="B27" s="8" t="s">
        <v>71</v>
      </c>
      <c r="C27" s="5">
        <v>980</v>
      </c>
      <c r="D27" s="9" t="str">
        <f>HYPERLINK("#"&amp;"'Fee Receipt (Class-wise)'!C1208",B27)</f>
        <v>BASIC 7B</v>
      </c>
      <c r="E27" s="9" t="str">
        <f>HYPERLINK("#"&amp;"'Fee Pending (Class-wise)'!C669",B27)</f>
        <v>BASIC 7B</v>
      </c>
      <c r="F27" s="12">
        <f t="shared" si="2"/>
        <v>58800</v>
      </c>
      <c r="G27" s="12">
        <f t="shared" si="0"/>
        <v>17970</v>
      </c>
      <c r="H27" s="12">
        <f>'Fee Receipt (Class-wise)'!K1271</f>
        <v>40830</v>
      </c>
      <c r="I27" s="12">
        <f t="shared" si="1"/>
        <v>0</v>
      </c>
      <c r="J27" s="13"/>
    </row>
    <row r="28" spans="1:10" ht="14.65" thickBot="1">
      <c r="A28" s="13"/>
      <c r="B28" s="8" t="s">
        <v>72</v>
      </c>
      <c r="C28" s="5">
        <v>980</v>
      </c>
      <c r="D28" s="9" t="str">
        <f>HYPERLINK("#"&amp;"'Fee Receipt (Class-wise)'!C1275",B28)</f>
        <v>BASIC 8A</v>
      </c>
      <c r="E28" s="9" t="str">
        <f>HYPERLINK("#"&amp;"'Fee Pending (Class-wise)'!C706",B28)</f>
        <v>BASIC 8A</v>
      </c>
      <c r="F28" s="12">
        <f t="shared" si="2"/>
        <v>58800</v>
      </c>
      <c r="G28" s="12">
        <f t="shared" si="0"/>
        <v>16250</v>
      </c>
      <c r="H28" s="12">
        <f>'Fee Receipt (Class-wise)'!K1338</f>
        <v>42550</v>
      </c>
      <c r="I28" s="12">
        <f t="shared" si="1"/>
        <v>0</v>
      </c>
      <c r="J28" s="13"/>
    </row>
    <row r="29" spans="1:10" ht="14.65" thickBot="1">
      <c r="A29" s="13"/>
      <c r="B29" s="8" t="s">
        <v>73</v>
      </c>
      <c r="C29" s="5">
        <v>980</v>
      </c>
      <c r="D29" s="9" t="str">
        <f>HYPERLINK("#"&amp;"'Fee Receipt (Class-wise)'!C1342",B29)</f>
        <v>BASIC 8B</v>
      </c>
      <c r="E29" s="9" t="str">
        <f>HYPERLINK("#"&amp;"'Fee Pending (Class-wise)'!C743",B29)</f>
        <v>BASIC 8B</v>
      </c>
      <c r="F29" s="12">
        <f t="shared" si="2"/>
        <v>58800</v>
      </c>
      <c r="G29" s="12">
        <f t="shared" si="0"/>
        <v>17150</v>
      </c>
      <c r="H29" s="12">
        <f>'Fee Receipt (Class-wise)'!K1405</f>
        <v>41650</v>
      </c>
      <c r="I29" s="12">
        <f t="shared" si="1"/>
        <v>0</v>
      </c>
      <c r="J29" s="13"/>
    </row>
    <row r="30" spans="1:10" ht="14.65" thickBot="1">
      <c r="A30" s="13"/>
      <c r="B30" s="8" t="s">
        <v>609</v>
      </c>
      <c r="C30" s="5">
        <v>4160</v>
      </c>
      <c r="D30" s="9" t="str">
        <f>HYPERLINK("#"&amp;"'Fee Receipt (Class-wise)'!C1409",B30)</f>
        <v>BASIC 9A</v>
      </c>
      <c r="E30" s="9" t="str">
        <f>HYPERLINK("#"&amp;"'Fee Pending (Class-wise)'!C780",B30)</f>
        <v>BASIC 9A</v>
      </c>
      <c r="F30" s="12">
        <f t="shared" si="2"/>
        <v>249600</v>
      </c>
      <c r="G30" s="12">
        <f t="shared" si="0"/>
        <v>-4160</v>
      </c>
      <c r="H30" s="12">
        <f>'Fee Receipt (Class-wise)'!K1473</f>
        <v>253760</v>
      </c>
      <c r="I30" s="12">
        <f t="shared" si="1"/>
        <v>0</v>
      </c>
      <c r="J30" s="13"/>
    </row>
    <row r="31" spans="1:10" ht="14.65" thickBot="1">
      <c r="A31" s="13"/>
      <c r="B31" s="8" t="s">
        <v>608</v>
      </c>
      <c r="C31" s="5">
        <v>4160</v>
      </c>
      <c r="D31" s="9" t="str">
        <f>HYPERLINK("#"&amp;"'Fee Receipt (Class-wise)'!C1409",B31)</f>
        <v>BASIC 9B</v>
      </c>
      <c r="E31" s="9" t="str">
        <f>HYPERLINK("#"&amp;"'Fee Pending (Class-wise)'!C780",B31)</f>
        <v>BASIC 9B</v>
      </c>
      <c r="F31" s="12">
        <f t="shared" si="2"/>
        <v>249600</v>
      </c>
      <c r="G31" s="12">
        <f t="shared" si="0"/>
        <v>0</v>
      </c>
      <c r="H31" s="12">
        <f>'Fee Receipt (Class-wise)'!K1540</f>
        <v>249600</v>
      </c>
      <c r="I31" s="12">
        <f t="shared" si="1"/>
        <v>0</v>
      </c>
      <c r="J31" s="13"/>
    </row>
    <row r="32" spans="1:10" ht="14.65" thickBot="1">
      <c r="A32" s="13"/>
      <c r="B32" s="8"/>
      <c r="C32" s="5"/>
      <c r="D32" s="9"/>
      <c r="E32" s="9"/>
      <c r="F32" s="12"/>
      <c r="G32" s="12"/>
      <c r="H32" s="12"/>
      <c r="I32" s="12"/>
      <c r="J32" s="13"/>
    </row>
    <row r="33" spans="1:10" ht="14.65" thickBot="1">
      <c r="A33" s="13"/>
      <c r="B33" s="8"/>
      <c r="C33" s="5"/>
      <c r="D33" s="9"/>
      <c r="E33" s="9"/>
      <c r="F33" s="12"/>
      <c r="G33" s="12"/>
      <c r="H33" s="12"/>
      <c r="I33" s="12"/>
      <c r="J33" s="13"/>
    </row>
    <row r="34" spans="1:10" ht="14.65" thickBot="1">
      <c r="A34" s="13"/>
      <c r="B34" s="8"/>
      <c r="C34" s="5"/>
      <c r="D34" s="9"/>
      <c r="E34" s="9"/>
      <c r="F34" s="12"/>
      <c r="G34" s="12"/>
      <c r="H34" s="12"/>
      <c r="I34" s="12"/>
      <c r="J34" s="13"/>
    </row>
    <row r="35" spans="1:10" ht="14.65" thickBot="1">
      <c r="A35" s="13"/>
      <c r="B35" s="8"/>
      <c r="C35" s="5"/>
      <c r="D35" s="9"/>
      <c r="E35" s="9"/>
      <c r="F35" s="12"/>
      <c r="G35" s="12"/>
      <c r="H35" s="12"/>
      <c r="I35" s="12"/>
      <c r="J35" s="13"/>
    </row>
    <row r="36" spans="1:10" ht="14.65" thickBot="1">
      <c r="A36" s="13"/>
      <c r="B36" s="8"/>
      <c r="C36" s="5"/>
      <c r="D36" s="9"/>
      <c r="E36" s="9"/>
      <c r="F36" s="12"/>
      <c r="G36" s="12"/>
      <c r="H36" s="12"/>
      <c r="I36" s="12"/>
      <c r="J36" s="13"/>
    </row>
    <row r="37" spans="1:10" ht="14.65" thickBot="1">
      <c r="A37" s="13"/>
      <c r="B37" s="8"/>
      <c r="C37" s="5"/>
      <c r="D37" s="9"/>
      <c r="E37" s="9"/>
      <c r="F37" s="12"/>
      <c r="G37" s="12"/>
      <c r="H37" s="12"/>
      <c r="I37" s="12"/>
      <c r="J37" s="13"/>
    </row>
    <row r="38" spans="1:10" ht="14.65" thickBot="1">
      <c r="A38" s="13"/>
      <c r="B38" s="8"/>
      <c r="C38" s="5"/>
      <c r="D38" s="9"/>
      <c r="E38" s="9"/>
      <c r="F38" s="12"/>
      <c r="G38" s="12"/>
      <c r="H38" s="12"/>
      <c r="I38" s="12"/>
      <c r="J38" s="13"/>
    </row>
    <row r="39" spans="1:10" ht="14.65" thickBot="1">
      <c r="A39" s="13"/>
      <c r="B39" s="37" t="s">
        <v>45</v>
      </c>
      <c r="C39" s="37"/>
      <c r="D39" s="37"/>
      <c r="E39" s="37"/>
      <c r="F39" s="12">
        <f>SUM(F9:F38)</f>
        <v>1447550</v>
      </c>
      <c r="G39" s="12">
        <f>SUM(G9:G38)</f>
        <v>279300</v>
      </c>
      <c r="H39" s="12">
        <f>SUM(H9:H38)</f>
        <v>1168250</v>
      </c>
      <c r="I39" s="12">
        <f t="shared" si="1"/>
        <v>0</v>
      </c>
      <c r="J39" s="13"/>
    </row>
    <row r="40" spans="1:10">
      <c r="A40" s="13"/>
      <c r="B40" s="13"/>
      <c r="C40" s="13"/>
      <c r="D40" s="13"/>
      <c r="E40" s="13"/>
      <c r="F40" s="13"/>
      <c r="G40" s="13"/>
      <c r="H40" s="13"/>
      <c r="I40" s="13"/>
      <c r="J40" s="13"/>
    </row>
  </sheetData>
  <mergeCells count="8">
    <mergeCell ref="B39:E39"/>
    <mergeCell ref="B2:H2"/>
    <mergeCell ref="B3:H3"/>
    <mergeCell ref="I2:I3"/>
    <mergeCell ref="B5:I5"/>
    <mergeCell ref="B6:E6"/>
    <mergeCell ref="H6:I6"/>
    <mergeCell ref="B7:D7"/>
  </mergeCells>
  <hyperlinks>
    <hyperlink ref="B2" r:id="rId1" xr:uid="{00000000-0004-0000-0000-000000000000}"/>
  </hyperlinks>
  <printOptions horizontalCentered="1" verticalCentered="1"/>
  <pageMargins left="0" right="0" top="0" bottom="0" header="0" footer="0"/>
  <pageSetup paperSize="9" scale="86" orientation="portrait" horizontalDpi="300" r:id="rId2"/>
  <ignoredErrors>
    <ignoredError sqref="E10" formula="1"/>
  </ignoredError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10"/>
  <sheetViews>
    <sheetView tabSelected="1" topLeftCell="A1346" zoomScale="98" zoomScaleNormal="102" workbookViewId="0">
      <selection activeCell="G1356" sqref="G1356"/>
    </sheetView>
  </sheetViews>
  <sheetFormatPr defaultColWidth="13.1328125" defaultRowHeight="14.25"/>
  <cols>
    <col min="1" max="1" width="13.1328125" style="23"/>
    <col min="2" max="2" width="8.1328125" style="22" customWidth="1"/>
    <col min="3" max="3" width="39.265625" style="22" customWidth="1"/>
    <col min="4" max="4" width="6.53125" style="22" customWidth="1"/>
    <col min="5" max="5" width="11.73046875" style="22" bestFit="1" customWidth="1"/>
    <col min="6" max="10" width="10.265625" style="22" bestFit="1" customWidth="1"/>
    <col min="11" max="11" width="13.1328125" style="22"/>
    <col min="12" max="12" width="11.265625" style="22" bestFit="1" customWidth="1"/>
    <col min="13" max="16384" width="13.1328125" style="22"/>
  </cols>
  <sheetData>
    <row r="1" spans="1:11" ht="46.5">
      <c r="A1" s="36" t="s">
        <v>51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>
      <c r="A2" s="23">
        <v>1</v>
      </c>
      <c r="B2" s="23" t="s">
        <v>0</v>
      </c>
      <c r="C2" s="28" t="str">
        <f>IF('Navigation and Summary'!$B$9="", "", 'Navigation and Summary'!$B$9)</f>
        <v xml:space="preserve"> CRECHE</v>
      </c>
      <c r="D2" s="28"/>
      <c r="E2" s="23" t="s">
        <v>37</v>
      </c>
      <c r="F2" s="24">
        <f>IF('Navigation and Summary'!$C$9="", "", 'Navigation and Summary'!$C$9)</f>
        <v>650</v>
      </c>
      <c r="G2" s="23" t="s">
        <v>34</v>
      </c>
      <c r="H2" s="24" t="str">
        <f>IF(C2="", "", 'Navigation and Summary'!$G$6)</f>
        <v>2025-26</v>
      </c>
    </row>
    <row r="3" spans="1:11">
      <c r="A3" s="35"/>
      <c r="B3" s="35" t="s">
        <v>32</v>
      </c>
      <c r="C3" s="35"/>
      <c r="D3" s="35"/>
      <c r="E3" s="35"/>
      <c r="F3" s="35"/>
      <c r="G3" s="35"/>
      <c r="H3" s="35"/>
      <c r="I3" s="23"/>
      <c r="J3" s="23"/>
      <c r="K3" s="23"/>
    </row>
    <row r="4" spans="1:11" s="29" customFormat="1" ht="28.5">
      <c r="A4" s="35"/>
      <c r="B4" s="25" t="s">
        <v>1</v>
      </c>
      <c r="C4" s="25" t="s">
        <v>2</v>
      </c>
      <c r="D4" s="25" t="s">
        <v>745</v>
      </c>
      <c r="E4" s="25" t="s">
        <v>3</v>
      </c>
      <c r="F4" s="25" t="s">
        <v>4</v>
      </c>
      <c r="G4" s="25" t="s">
        <v>5</v>
      </c>
      <c r="H4" s="25" t="s">
        <v>6</v>
      </c>
      <c r="I4" s="25" t="s">
        <v>7</v>
      </c>
      <c r="J4" s="25" t="s">
        <v>8</v>
      </c>
      <c r="K4" s="25" t="s">
        <v>9</v>
      </c>
    </row>
    <row r="5" spans="1:11">
      <c r="A5" s="35"/>
      <c r="B5" s="24">
        <v>1</v>
      </c>
      <c r="C5" s="23" t="s">
        <v>224</v>
      </c>
      <c r="D5" s="23" t="s">
        <v>746</v>
      </c>
      <c r="E5" s="24">
        <v>150</v>
      </c>
      <c r="F5" s="24"/>
      <c r="G5" s="24"/>
      <c r="H5" s="24"/>
      <c r="I5" s="24"/>
      <c r="J5" s="24">
        <f>IF(SUM(E5:I5)=0, "", SUM(E5:I5))</f>
        <v>150</v>
      </c>
      <c r="K5" s="24">
        <f t="shared" ref="K5:K36" si="0" xml:space="preserve"> IFERROR(IF(($F$2-J5)=0, 0, ($F$2-J5)),$F$2)</f>
        <v>500</v>
      </c>
    </row>
    <row r="6" spans="1:11">
      <c r="A6" s="35"/>
      <c r="B6" s="24">
        <v>2</v>
      </c>
      <c r="C6" s="23" t="s">
        <v>223</v>
      </c>
      <c r="D6" s="23" t="s">
        <v>747</v>
      </c>
      <c r="E6" s="24">
        <v>650</v>
      </c>
      <c r="F6" s="24"/>
      <c r="G6" s="24"/>
      <c r="H6" s="24"/>
      <c r="I6" s="24"/>
      <c r="J6" s="24">
        <f t="shared" ref="J6:J64" si="1">IF(SUM(E6:I6)=0, "", SUM(E6:I6))</f>
        <v>650</v>
      </c>
      <c r="K6" s="24">
        <f t="shared" si="0"/>
        <v>0</v>
      </c>
    </row>
    <row r="7" spans="1:11">
      <c r="A7" s="35"/>
      <c r="B7" s="24">
        <v>3</v>
      </c>
      <c r="C7" s="23" t="s">
        <v>709</v>
      </c>
      <c r="D7" s="23" t="s">
        <v>747</v>
      </c>
      <c r="E7" s="24">
        <v>200</v>
      </c>
      <c r="F7" s="24"/>
      <c r="G7" s="24"/>
      <c r="H7" s="24"/>
      <c r="I7" s="24"/>
      <c r="J7" s="24">
        <f t="shared" si="1"/>
        <v>200</v>
      </c>
      <c r="K7" s="24">
        <f t="shared" si="0"/>
        <v>450</v>
      </c>
    </row>
    <row r="8" spans="1:11">
      <c r="A8" s="35"/>
      <c r="B8" s="24">
        <v>4</v>
      </c>
      <c r="C8" s="23" t="s">
        <v>219</v>
      </c>
      <c r="D8" s="23" t="s">
        <v>746</v>
      </c>
      <c r="E8" s="24">
        <v>310</v>
      </c>
      <c r="F8" s="24"/>
      <c r="G8" s="24"/>
      <c r="H8" s="24"/>
      <c r="I8" s="24"/>
      <c r="J8" s="24">
        <f t="shared" si="1"/>
        <v>310</v>
      </c>
      <c r="K8" s="24">
        <f t="shared" si="0"/>
        <v>340</v>
      </c>
    </row>
    <row r="9" spans="1:11">
      <c r="A9" s="35"/>
      <c r="B9" s="24">
        <v>5</v>
      </c>
      <c r="C9" s="23" t="s">
        <v>221</v>
      </c>
      <c r="D9" s="23" t="s">
        <v>746</v>
      </c>
      <c r="E9" s="24">
        <v>650</v>
      </c>
      <c r="F9" s="24"/>
      <c r="G9" s="24"/>
      <c r="H9" s="24"/>
      <c r="I9" s="24"/>
      <c r="J9" s="24">
        <f t="shared" si="1"/>
        <v>650</v>
      </c>
      <c r="K9" s="24">
        <f t="shared" si="0"/>
        <v>0</v>
      </c>
    </row>
    <row r="10" spans="1:11">
      <c r="A10" s="35"/>
      <c r="B10" s="24">
        <v>6</v>
      </c>
      <c r="C10" s="23" t="s">
        <v>222</v>
      </c>
      <c r="D10" s="23" t="s">
        <v>746</v>
      </c>
      <c r="E10" s="24">
        <v>650</v>
      </c>
      <c r="F10" s="24"/>
      <c r="G10" s="24"/>
      <c r="H10" s="24"/>
      <c r="I10" s="24"/>
      <c r="J10" s="24">
        <f t="shared" si="1"/>
        <v>650</v>
      </c>
      <c r="K10" s="24">
        <f t="shared" si="0"/>
        <v>0</v>
      </c>
    </row>
    <row r="11" spans="1:11">
      <c r="A11" s="35"/>
      <c r="B11" s="24">
        <v>7</v>
      </c>
      <c r="C11" s="23" t="s">
        <v>631</v>
      </c>
      <c r="D11" s="23" t="s">
        <v>746</v>
      </c>
      <c r="E11" s="24">
        <v>650</v>
      </c>
      <c r="F11" s="24"/>
      <c r="G11" s="24"/>
      <c r="H11" s="24"/>
      <c r="I11" s="24"/>
      <c r="J11" s="24">
        <f t="shared" si="1"/>
        <v>650</v>
      </c>
      <c r="K11" s="24">
        <f t="shared" si="0"/>
        <v>0</v>
      </c>
    </row>
    <row r="12" spans="1:11">
      <c r="A12" s="35"/>
      <c r="B12" s="24">
        <v>8</v>
      </c>
      <c r="C12" s="23" t="s">
        <v>685</v>
      </c>
      <c r="D12" s="23" t="s">
        <v>747</v>
      </c>
      <c r="E12" s="24">
        <v>650</v>
      </c>
      <c r="F12" s="24"/>
      <c r="G12" s="24"/>
      <c r="H12" s="24"/>
      <c r="I12" s="24"/>
      <c r="J12" s="24">
        <f t="shared" si="1"/>
        <v>650</v>
      </c>
      <c r="K12" s="24">
        <f t="shared" si="0"/>
        <v>0</v>
      </c>
    </row>
    <row r="13" spans="1:11">
      <c r="A13" s="35"/>
      <c r="B13" s="24">
        <v>9</v>
      </c>
      <c r="C13" s="23" t="s">
        <v>225</v>
      </c>
      <c r="D13" s="23" t="s">
        <v>746</v>
      </c>
      <c r="E13" s="24"/>
      <c r="F13" s="24"/>
      <c r="G13" s="24"/>
      <c r="H13" s="24"/>
      <c r="I13" s="24"/>
      <c r="J13" s="24" t="str">
        <f t="shared" si="1"/>
        <v/>
      </c>
      <c r="K13" s="24">
        <f t="shared" si="0"/>
        <v>650</v>
      </c>
    </row>
    <row r="14" spans="1:11">
      <c r="A14" s="35"/>
      <c r="B14" s="24">
        <v>10</v>
      </c>
      <c r="C14" s="23" t="s">
        <v>710</v>
      </c>
      <c r="D14" s="23" t="s">
        <v>746</v>
      </c>
      <c r="E14" s="24">
        <v>650</v>
      </c>
      <c r="F14" s="24"/>
      <c r="G14" s="24"/>
      <c r="H14" s="24"/>
      <c r="I14" s="24"/>
      <c r="J14" s="24">
        <f t="shared" si="1"/>
        <v>650</v>
      </c>
      <c r="K14" s="24">
        <f t="shared" si="0"/>
        <v>0</v>
      </c>
    </row>
    <row r="15" spans="1:11">
      <c r="A15" s="35"/>
      <c r="B15" s="24">
        <v>11</v>
      </c>
      <c r="C15" s="23" t="s">
        <v>705</v>
      </c>
      <c r="D15" s="23" t="s">
        <v>746</v>
      </c>
      <c r="E15" s="24">
        <v>450</v>
      </c>
      <c r="F15" s="24"/>
      <c r="G15" s="24"/>
      <c r="H15" s="24"/>
      <c r="I15" s="24"/>
      <c r="J15" s="24">
        <f t="shared" si="1"/>
        <v>450</v>
      </c>
      <c r="K15" s="24">
        <f xml:space="preserve"> IFERROR(IF(($F$2-J15)=0, 0, ($F$2-J15)),$F$2)</f>
        <v>200</v>
      </c>
    </row>
    <row r="16" spans="1:11">
      <c r="A16" s="35"/>
      <c r="B16" s="24">
        <v>12</v>
      </c>
      <c r="C16" s="23" t="s">
        <v>711</v>
      </c>
      <c r="D16" s="23" t="s">
        <v>747</v>
      </c>
      <c r="E16" s="24"/>
      <c r="F16" s="24"/>
      <c r="G16" s="24"/>
      <c r="H16" s="24"/>
      <c r="I16" s="24"/>
      <c r="J16" s="24" t="str">
        <f t="shared" si="1"/>
        <v/>
      </c>
      <c r="K16" s="24">
        <f t="shared" si="0"/>
        <v>650</v>
      </c>
    </row>
    <row r="17" spans="1:11">
      <c r="A17" s="35"/>
      <c r="B17" s="24">
        <v>13</v>
      </c>
      <c r="C17" s="23" t="s">
        <v>712</v>
      </c>
      <c r="D17" s="23" t="s">
        <v>747</v>
      </c>
      <c r="E17" s="24"/>
      <c r="F17" s="24"/>
      <c r="G17" s="24"/>
      <c r="H17" s="24"/>
      <c r="I17" s="24"/>
      <c r="J17" s="24" t="str">
        <f>IF(SUM(E17:I17)=0, "", SUM(E17:I17))</f>
        <v/>
      </c>
      <c r="K17" s="24">
        <f t="shared" si="0"/>
        <v>650</v>
      </c>
    </row>
    <row r="18" spans="1:11">
      <c r="A18" s="35"/>
      <c r="B18" s="24">
        <v>14</v>
      </c>
      <c r="C18" s="23" t="s">
        <v>690</v>
      </c>
      <c r="D18" s="23" t="s">
        <v>746</v>
      </c>
      <c r="E18" s="24">
        <v>200</v>
      </c>
      <c r="F18" s="24">
        <v>200</v>
      </c>
      <c r="G18" s="24">
        <v>250</v>
      </c>
      <c r="H18" s="24"/>
      <c r="I18" s="24"/>
      <c r="J18" s="24">
        <f t="shared" si="1"/>
        <v>650</v>
      </c>
      <c r="K18" s="24">
        <f t="shared" si="0"/>
        <v>0</v>
      </c>
    </row>
    <row r="19" spans="1:11">
      <c r="A19" s="35"/>
      <c r="B19" s="24">
        <v>15</v>
      </c>
      <c r="C19" s="23" t="s">
        <v>713</v>
      </c>
      <c r="D19" s="23" t="s">
        <v>747</v>
      </c>
      <c r="E19" s="24"/>
      <c r="F19" s="24"/>
      <c r="G19" s="24"/>
      <c r="H19" s="24"/>
      <c r="I19" s="24"/>
      <c r="J19" s="24" t="str">
        <f t="shared" si="1"/>
        <v/>
      </c>
      <c r="K19" s="24">
        <f t="shared" si="0"/>
        <v>650</v>
      </c>
    </row>
    <row r="20" spans="1:11">
      <c r="A20" s="35"/>
      <c r="B20" s="24">
        <v>16</v>
      </c>
      <c r="C20" s="23" t="s">
        <v>640</v>
      </c>
      <c r="D20" s="23" t="s">
        <v>747</v>
      </c>
      <c r="E20" s="24"/>
      <c r="F20" s="24"/>
      <c r="G20" s="24"/>
      <c r="H20" s="24"/>
      <c r="I20" s="24"/>
      <c r="J20" s="24" t="str">
        <f t="shared" si="1"/>
        <v/>
      </c>
      <c r="K20" s="24">
        <f t="shared" si="0"/>
        <v>650</v>
      </c>
    </row>
    <row r="21" spans="1:11">
      <c r="A21" s="35"/>
      <c r="B21" s="24">
        <v>17</v>
      </c>
      <c r="C21" s="23" t="s">
        <v>707</v>
      </c>
      <c r="D21" s="23" t="s">
        <v>747</v>
      </c>
      <c r="F21" s="24"/>
      <c r="G21" s="24"/>
      <c r="H21" s="24"/>
      <c r="I21" s="24"/>
      <c r="J21" s="24" t="str">
        <f t="shared" si="1"/>
        <v/>
      </c>
      <c r="K21" s="24">
        <f t="shared" si="0"/>
        <v>650</v>
      </c>
    </row>
    <row r="22" spans="1:11">
      <c r="A22" s="35"/>
      <c r="B22" s="24">
        <v>18</v>
      </c>
      <c r="C22" s="23" t="s">
        <v>708</v>
      </c>
      <c r="D22" s="23" t="s">
        <v>747</v>
      </c>
      <c r="E22" s="24"/>
      <c r="F22" s="24"/>
      <c r="G22" s="24"/>
      <c r="H22" s="24"/>
      <c r="I22" s="24"/>
      <c r="J22" s="24" t="str">
        <f t="shared" si="1"/>
        <v/>
      </c>
      <c r="K22" s="24">
        <f t="shared" si="0"/>
        <v>650</v>
      </c>
    </row>
    <row r="23" spans="1:11">
      <c r="A23" s="35"/>
      <c r="B23" s="24">
        <v>19</v>
      </c>
      <c r="C23" s="23" t="s">
        <v>735</v>
      </c>
      <c r="D23" s="23" t="s">
        <v>747</v>
      </c>
      <c r="E23" s="24">
        <v>300</v>
      </c>
      <c r="F23" s="24">
        <v>200</v>
      </c>
      <c r="G23" s="24"/>
      <c r="H23" s="24"/>
      <c r="I23" s="24"/>
      <c r="J23" s="24">
        <f t="shared" si="1"/>
        <v>500</v>
      </c>
      <c r="K23" s="24">
        <f t="shared" si="0"/>
        <v>150</v>
      </c>
    </row>
    <row r="24" spans="1:11">
      <c r="A24" s="35"/>
      <c r="B24" s="24">
        <v>20</v>
      </c>
      <c r="C24" s="23" t="s">
        <v>734</v>
      </c>
      <c r="D24" s="23" t="s">
        <v>746</v>
      </c>
      <c r="E24" s="24">
        <v>450</v>
      </c>
      <c r="F24" s="24">
        <v>200</v>
      </c>
      <c r="G24" s="24"/>
      <c r="H24" s="24"/>
      <c r="I24" s="24"/>
      <c r="J24" s="24">
        <f t="shared" si="1"/>
        <v>650</v>
      </c>
      <c r="K24" s="24">
        <f t="shared" si="0"/>
        <v>0</v>
      </c>
    </row>
    <row r="25" spans="1:11">
      <c r="A25" s="35"/>
      <c r="B25" s="24">
        <v>21</v>
      </c>
      <c r="C25" s="23" t="s">
        <v>659</v>
      </c>
      <c r="D25" s="23" t="s">
        <v>747</v>
      </c>
      <c r="E25" s="24"/>
      <c r="F25" s="24"/>
      <c r="G25" s="24"/>
      <c r="H25" s="24"/>
      <c r="I25" s="24"/>
      <c r="J25" s="24" t="str">
        <f t="shared" si="1"/>
        <v/>
      </c>
      <c r="K25" s="24">
        <f t="shared" si="0"/>
        <v>650</v>
      </c>
    </row>
    <row r="26" spans="1:11">
      <c r="A26" s="35"/>
      <c r="B26" s="24">
        <v>22</v>
      </c>
      <c r="C26" s="23" t="s">
        <v>700</v>
      </c>
      <c r="D26" s="23" t="s">
        <v>747</v>
      </c>
      <c r="E26" s="24">
        <v>200</v>
      </c>
      <c r="F26" s="24">
        <v>200</v>
      </c>
      <c r="G26" s="24"/>
      <c r="H26" s="24"/>
      <c r="I26" s="24"/>
      <c r="J26" s="24">
        <f t="shared" si="1"/>
        <v>400</v>
      </c>
      <c r="K26" s="24">
        <f t="shared" si="0"/>
        <v>250</v>
      </c>
    </row>
    <row r="27" spans="1:11">
      <c r="A27" s="35"/>
      <c r="B27" s="24">
        <v>23</v>
      </c>
      <c r="C27" s="23" t="s">
        <v>226</v>
      </c>
      <c r="D27" s="23" t="s">
        <v>746</v>
      </c>
      <c r="E27" s="24"/>
      <c r="F27" s="24"/>
      <c r="G27" s="24"/>
      <c r="H27" s="24"/>
      <c r="I27" s="24"/>
      <c r="J27" s="24" t="str">
        <f t="shared" si="1"/>
        <v/>
      </c>
      <c r="K27" s="24">
        <f t="shared" si="0"/>
        <v>650</v>
      </c>
    </row>
    <row r="28" spans="1:11">
      <c r="A28" s="35"/>
      <c r="B28" s="24">
        <v>24</v>
      </c>
      <c r="C28" s="23" t="s">
        <v>699</v>
      </c>
      <c r="D28" s="23" t="s">
        <v>747</v>
      </c>
      <c r="E28" s="24">
        <v>650</v>
      </c>
      <c r="F28" s="24"/>
      <c r="G28" s="24"/>
      <c r="H28" s="24"/>
      <c r="I28" s="24"/>
      <c r="J28" s="24">
        <f t="shared" si="1"/>
        <v>650</v>
      </c>
      <c r="K28" s="24">
        <f t="shared" si="0"/>
        <v>0</v>
      </c>
    </row>
    <row r="29" spans="1:11">
      <c r="A29" s="35"/>
      <c r="B29" s="24">
        <v>25</v>
      </c>
      <c r="C29" s="23"/>
      <c r="D29" s="23"/>
      <c r="E29" s="24"/>
      <c r="F29" s="24"/>
      <c r="G29" s="24"/>
      <c r="H29" s="24"/>
      <c r="I29" s="24"/>
      <c r="J29" s="24" t="str">
        <f t="shared" si="1"/>
        <v/>
      </c>
      <c r="K29" s="24">
        <f t="shared" si="0"/>
        <v>650</v>
      </c>
    </row>
    <row r="30" spans="1:11">
      <c r="A30" s="35"/>
      <c r="B30" s="24">
        <v>26</v>
      </c>
      <c r="C30" s="23"/>
      <c r="D30" s="23"/>
      <c r="E30" s="24"/>
      <c r="F30" s="24"/>
      <c r="G30" s="24"/>
      <c r="H30" s="24"/>
      <c r="I30" s="24"/>
      <c r="J30" s="24" t="str">
        <f t="shared" si="1"/>
        <v/>
      </c>
      <c r="K30" s="24">
        <f t="shared" si="0"/>
        <v>650</v>
      </c>
    </row>
    <row r="31" spans="1:11">
      <c r="A31" s="35"/>
      <c r="B31" s="24">
        <v>27</v>
      </c>
      <c r="C31" s="23"/>
      <c r="D31" s="23"/>
      <c r="E31" s="24"/>
      <c r="F31" s="24"/>
      <c r="G31" s="24"/>
      <c r="H31" s="24"/>
      <c r="I31" s="24"/>
      <c r="J31" s="24" t="str">
        <f t="shared" si="1"/>
        <v/>
      </c>
      <c r="K31" s="24">
        <f t="shared" si="0"/>
        <v>650</v>
      </c>
    </row>
    <row r="32" spans="1:11">
      <c r="A32" s="35"/>
      <c r="B32" s="24">
        <v>28</v>
      </c>
      <c r="C32" s="23"/>
      <c r="D32" s="23"/>
      <c r="E32" s="24"/>
      <c r="F32" s="24"/>
      <c r="G32" s="24"/>
      <c r="H32" s="24"/>
      <c r="I32" s="24"/>
      <c r="J32" s="24" t="str">
        <f t="shared" si="1"/>
        <v/>
      </c>
      <c r="K32" s="24">
        <f t="shared" si="0"/>
        <v>650</v>
      </c>
    </row>
    <row r="33" spans="1:11">
      <c r="A33" s="35"/>
      <c r="B33" s="24">
        <v>29</v>
      </c>
      <c r="C33" s="23"/>
      <c r="D33" s="23"/>
      <c r="E33" s="24"/>
      <c r="F33" s="24"/>
      <c r="G33" s="24"/>
      <c r="H33" s="24"/>
      <c r="I33" s="24"/>
      <c r="J33" s="24" t="str">
        <f t="shared" si="1"/>
        <v/>
      </c>
      <c r="K33" s="24">
        <f t="shared" si="0"/>
        <v>650</v>
      </c>
    </row>
    <row r="34" spans="1:11">
      <c r="A34" s="35"/>
      <c r="B34" s="24">
        <v>30</v>
      </c>
      <c r="C34" s="23"/>
      <c r="D34" s="23"/>
      <c r="E34" s="24"/>
      <c r="F34" s="24"/>
      <c r="G34" s="24"/>
      <c r="H34" s="24"/>
      <c r="I34" s="24"/>
      <c r="J34" s="24" t="str">
        <f t="shared" si="1"/>
        <v/>
      </c>
      <c r="K34" s="24">
        <f t="shared" si="0"/>
        <v>650</v>
      </c>
    </row>
    <row r="35" spans="1:11">
      <c r="A35" s="35"/>
      <c r="B35" s="24">
        <v>31</v>
      </c>
      <c r="C35" s="23"/>
      <c r="D35" s="23"/>
      <c r="E35" s="24"/>
      <c r="F35" s="24"/>
      <c r="G35" s="24"/>
      <c r="H35" s="24"/>
      <c r="I35" s="24"/>
      <c r="J35" s="24" t="str">
        <f t="shared" si="1"/>
        <v/>
      </c>
      <c r="K35" s="24">
        <f t="shared" si="0"/>
        <v>650</v>
      </c>
    </row>
    <row r="36" spans="1:11">
      <c r="A36" s="35"/>
      <c r="B36" s="24">
        <v>32</v>
      </c>
      <c r="C36" s="23"/>
      <c r="D36" s="23"/>
      <c r="E36" s="24"/>
      <c r="F36" s="24"/>
      <c r="G36" s="24"/>
      <c r="H36" s="24"/>
      <c r="I36" s="24"/>
      <c r="J36" s="24" t="str">
        <f t="shared" si="1"/>
        <v/>
      </c>
      <c r="K36" s="24">
        <f t="shared" si="0"/>
        <v>650</v>
      </c>
    </row>
    <row r="37" spans="1:11">
      <c r="A37" s="35"/>
      <c r="B37" s="24">
        <v>33</v>
      </c>
      <c r="C37" s="23"/>
      <c r="D37" s="23"/>
      <c r="E37" s="24"/>
      <c r="F37" s="24"/>
      <c r="G37" s="24"/>
      <c r="H37" s="24"/>
      <c r="I37" s="24"/>
      <c r="J37" s="24" t="str">
        <f t="shared" si="1"/>
        <v/>
      </c>
      <c r="K37" s="24">
        <f t="shared" ref="K37:K64" si="2" xml:space="preserve"> IFERROR(IF(($F$2-J37)=0, 0, ($F$2-J37)),$F$2)</f>
        <v>650</v>
      </c>
    </row>
    <row r="38" spans="1:11">
      <c r="A38" s="35"/>
      <c r="B38" s="24">
        <v>34</v>
      </c>
      <c r="C38" s="23"/>
      <c r="D38" s="23"/>
      <c r="E38" s="24"/>
      <c r="F38" s="24"/>
      <c r="G38" s="24"/>
      <c r="H38" s="24"/>
      <c r="I38" s="24"/>
      <c r="J38" s="24" t="str">
        <f t="shared" si="1"/>
        <v/>
      </c>
      <c r="K38" s="24">
        <f t="shared" si="2"/>
        <v>650</v>
      </c>
    </row>
    <row r="39" spans="1:11">
      <c r="A39" s="35"/>
      <c r="B39" s="24">
        <v>35</v>
      </c>
      <c r="C39" s="23"/>
      <c r="D39" s="23"/>
      <c r="E39" s="24"/>
      <c r="F39" s="24"/>
      <c r="G39" s="24"/>
      <c r="H39" s="24"/>
      <c r="I39" s="24"/>
      <c r="J39" s="24" t="str">
        <f t="shared" si="1"/>
        <v/>
      </c>
      <c r="K39" s="24">
        <f t="shared" si="2"/>
        <v>650</v>
      </c>
    </row>
    <row r="40" spans="1:11">
      <c r="A40" s="35"/>
      <c r="B40" s="24">
        <v>36</v>
      </c>
      <c r="C40" s="23"/>
      <c r="D40" s="23"/>
      <c r="E40" s="24"/>
      <c r="F40" s="24"/>
      <c r="G40" s="24"/>
      <c r="H40" s="24"/>
      <c r="I40" s="24"/>
      <c r="J40" s="24" t="str">
        <f t="shared" si="1"/>
        <v/>
      </c>
      <c r="K40" s="24">
        <f t="shared" si="2"/>
        <v>650</v>
      </c>
    </row>
    <row r="41" spans="1:11">
      <c r="A41" s="35"/>
      <c r="B41" s="24">
        <v>37</v>
      </c>
      <c r="C41" s="23"/>
      <c r="D41" s="23"/>
      <c r="E41" s="24"/>
      <c r="F41" s="24"/>
      <c r="G41" s="24"/>
      <c r="H41" s="24"/>
      <c r="I41" s="24"/>
      <c r="J41" s="24" t="str">
        <f t="shared" si="1"/>
        <v/>
      </c>
      <c r="K41" s="24">
        <f t="shared" si="2"/>
        <v>650</v>
      </c>
    </row>
    <row r="42" spans="1:11">
      <c r="A42" s="35"/>
      <c r="B42" s="24">
        <v>38</v>
      </c>
      <c r="C42" s="23"/>
      <c r="D42" s="23"/>
      <c r="E42" s="24"/>
      <c r="F42" s="24"/>
      <c r="G42" s="24"/>
      <c r="H42" s="24"/>
      <c r="I42" s="24"/>
      <c r="J42" s="24" t="str">
        <f t="shared" si="1"/>
        <v/>
      </c>
      <c r="K42" s="24">
        <f t="shared" si="2"/>
        <v>650</v>
      </c>
    </row>
    <row r="43" spans="1:11">
      <c r="A43" s="35"/>
      <c r="B43" s="24">
        <v>39</v>
      </c>
      <c r="C43" s="23"/>
      <c r="D43" s="23"/>
      <c r="E43" s="24"/>
      <c r="F43" s="24"/>
      <c r="G43" s="24"/>
      <c r="H43" s="24"/>
      <c r="I43" s="24"/>
      <c r="J43" s="24" t="str">
        <f t="shared" si="1"/>
        <v/>
      </c>
      <c r="K43" s="24">
        <f t="shared" si="2"/>
        <v>650</v>
      </c>
    </row>
    <row r="44" spans="1:11">
      <c r="A44" s="35"/>
      <c r="B44" s="24">
        <v>40</v>
      </c>
      <c r="C44" s="23"/>
      <c r="D44" s="23"/>
      <c r="E44" s="24"/>
      <c r="F44" s="24"/>
      <c r="G44" s="24"/>
      <c r="H44" s="24"/>
      <c r="I44" s="24"/>
      <c r="J44" s="24" t="str">
        <f t="shared" si="1"/>
        <v/>
      </c>
      <c r="K44" s="24">
        <f t="shared" si="2"/>
        <v>650</v>
      </c>
    </row>
    <row r="45" spans="1:11">
      <c r="A45" s="35"/>
      <c r="B45" s="24">
        <v>41</v>
      </c>
      <c r="C45" s="23"/>
      <c r="D45" s="23"/>
      <c r="E45" s="24"/>
      <c r="F45" s="24"/>
      <c r="G45" s="24"/>
      <c r="H45" s="24"/>
      <c r="I45" s="24"/>
      <c r="J45" s="24" t="str">
        <f t="shared" si="1"/>
        <v/>
      </c>
      <c r="K45" s="24">
        <f t="shared" si="2"/>
        <v>650</v>
      </c>
    </row>
    <row r="46" spans="1:11">
      <c r="A46" s="35"/>
      <c r="B46" s="24">
        <v>42</v>
      </c>
      <c r="C46" s="23"/>
      <c r="D46" s="23"/>
      <c r="E46" s="24"/>
      <c r="F46" s="24"/>
      <c r="G46" s="24"/>
      <c r="H46" s="24"/>
      <c r="I46" s="24"/>
      <c r="J46" s="24" t="str">
        <f t="shared" si="1"/>
        <v/>
      </c>
      <c r="K46" s="24">
        <f t="shared" si="2"/>
        <v>650</v>
      </c>
    </row>
    <row r="47" spans="1:11">
      <c r="A47" s="35"/>
      <c r="B47" s="24">
        <v>43</v>
      </c>
      <c r="C47" s="23"/>
      <c r="D47" s="23"/>
      <c r="E47" s="24"/>
      <c r="F47" s="24"/>
      <c r="G47" s="24"/>
      <c r="H47" s="24"/>
      <c r="I47" s="24"/>
      <c r="J47" s="24" t="str">
        <f t="shared" si="1"/>
        <v/>
      </c>
      <c r="K47" s="24">
        <f t="shared" si="2"/>
        <v>650</v>
      </c>
    </row>
    <row r="48" spans="1:11">
      <c r="A48" s="35"/>
      <c r="B48" s="24">
        <v>44</v>
      </c>
      <c r="C48" s="23"/>
      <c r="D48" s="23"/>
      <c r="E48" s="24"/>
      <c r="F48" s="24"/>
      <c r="G48" s="24"/>
      <c r="H48" s="24"/>
      <c r="I48" s="24"/>
      <c r="J48" s="24" t="str">
        <f t="shared" si="1"/>
        <v/>
      </c>
      <c r="K48" s="24">
        <f t="shared" si="2"/>
        <v>650</v>
      </c>
    </row>
    <row r="49" spans="1:11">
      <c r="A49" s="35"/>
      <c r="B49" s="24">
        <v>45</v>
      </c>
      <c r="C49" s="23"/>
      <c r="D49" s="23"/>
      <c r="E49" s="24"/>
      <c r="F49" s="24"/>
      <c r="G49" s="24"/>
      <c r="H49" s="24"/>
      <c r="I49" s="24"/>
      <c r="J49" s="24" t="str">
        <f t="shared" si="1"/>
        <v/>
      </c>
      <c r="K49" s="24">
        <f t="shared" si="2"/>
        <v>650</v>
      </c>
    </row>
    <row r="50" spans="1:11">
      <c r="A50" s="35"/>
      <c r="B50" s="24">
        <v>46</v>
      </c>
      <c r="C50" s="23"/>
      <c r="D50" s="23"/>
      <c r="E50" s="24"/>
      <c r="F50" s="24"/>
      <c r="G50" s="24"/>
      <c r="H50" s="24"/>
      <c r="I50" s="24"/>
      <c r="J50" s="24" t="str">
        <f t="shared" si="1"/>
        <v/>
      </c>
      <c r="K50" s="24">
        <f t="shared" si="2"/>
        <v>650</v>
      </c>
    </row>
    <row r="51" spans="1:11">
      <c r="A51" s="35"/>
      <c r="B51" s="24">
        <v>47</v>
      </c>
      <c r="C51" s="23"/>
      <c r="D51" s="23"/>
      <c r="E51" s="24"/>
      <c r="F51" s="24"/>
      <c r="G51" s="24"/>
      <c r="H51" s="24"/>
      <c r="I51" s="24"/>
      <c r="J51" s="24" t="str">
        <f t="shared" si="1"/>
        <v/>
      </c>
      <c r="K51" s="24">
        <f t="shared" si="2"/>
        <v>650</v>
      </c>
    </row>
    <row r="52" spans="1:11">
      <c r="A52" s="35"/>
      <c r="B52" s="24">
        <v>48</v>
      </c>
      <c r="C52" s="23"/>
      <c r="D52" s="23"/>
      <c r="E52" s="24"/>
      <c r="F52" s="24"/>
      <c r="G52" s="24"/>
      <c r="H52" s="24"/>
      <c r="I52" s="24"/>
      <c r="J52" s="24" t="str">
        <f t="shared" si="1"/>
        <v/>
      </c>
      <c r="K52" s="24">
        <f t="shared" si="2"/>
        <v>650</v>
      </c>
    </row>
    <row r="53" spans="1:11">
      <c r="A53" s="35"/>
      <c r="B53" s="24">
        <v>49</v>
      </c>
      <c r="C53" s="23"/>
      <c r="D53" s="23"/>
      <c r="E53" s="24"/>
      <c r="F53" s="24"/>
      <c r="G53" s="24"/>
      <c r="H53" s="24"/>
      <c r="I53" s="24"/>
      <c r="J53" s="24" t="str">
        <f t="shared" si="1"/>
        <v/>
      </c>
      <c r="K53" s="24">
        <f t="shared" si="2"/>
        <v>650</v>
      </c>
    </row>
    <row r="54" spans="1:11">
      <c r="A54" s="35"/>
      <c r="B54" s="24">
        <v>50</v>
      </c>
      <c r="C54" s="23"/>
      <c r="D54" s="23"/>
      <c r="E54" s="24"/>
      <c r="F54" s="24"/>
      <c r="G54" s="24"/>
      <c r="H54" s="24"/>
      <c r="I54" s="24"/>
      <c r="J54" s="24" t="str">
        <f t="shared" si="1"/>
        <v/>
      </c>
      <c r="K54" s="24">
        <f t="shared" si="2"/>
        <v>650</v>
      </c>
    </row>
    <row r="55" spans="1:11">
      <c r="A55" s="35"/>
      <c r="B55" s="24">
        <v>51</v>
      </c>
      <c r="C55" s="23"/>
      <c r="D55" s="23"/>
      <c r="E55" s="24"/>
      <c r="F55" s="24"/>
      <c r="G55" s="24"/>
      <c r="H55" s="24"/>
      <c r="I55" s="24"/>
      <c r="J55" s="24" t="str">
        <f t="shared" si="1"/>
        <v/>
      </c>
      <c r="K55" s="24">
        <f t="shared" si="2"/>
        <v>650</v>
      </c>
    </row>
    <row r="56" spans="1:11">
      <c r="A56" s="35"/>
      <c r="B56" s="24">
        <v>52</v>
      </c>
      <c r="C56" s="23"/>
      <c r="D56" s="23"/>
      <c r="E56" s="24"/>
      <c r="F56" s="24"/>
      <c r="G56" s="24"/>
      <c r="H56" s="24"/>
      <c r="I56" s="24"/>
      <c r="J56" s="24" t="str">
        <f t="shared" si="1"/>
        <v/>
      </c>
      <c r="K56" s="24">
        <f t="shared" si="2"/>
        <v>650</v>
      </c>
    </row>
    <row r="57" spans="1:11">
      <c r="A57" s="35"/>
      <c r="B57" s="24">
        <v>53</v>
      </c>
      <c r="C57" s="23"/>
      <c r="D57" s="23"/>
      <c r="E57" s="24"/>
      <c r="F57" s="24"/>
      <c r="G57" s="24"/>
      <c r="H57" s="24"/>
      <c r="I57" s="24"/>
      <c r="J57" s="24" t="str">
        <f t="shared" si="1"/>
        <v/>
      </c>
      <c r="K57" s="24">
        <f t="shared" si="2"/>
        <v>650</v>
      </c>
    </row>
    <row r="58" spans="1:11">
      <c r="A58" s="35"/>
      <c r="B58" s="24">
        <v>54</v>
      </c>
      <c r="C58" s="23"/>
      <c r="D58" s="23"/>
      <c r="E58" s="24"/>
      <c r="F58" s="24"/>
      <c r="G58" s="24"/>
      <c r="H58" s="24"/>
      <c r="I58" s="24"/>
      <c r="J58" s="24" t="str">
        <f t="shared" si="1"/>
        <v/>
      </c>
      <c r="K58" s="24">
        <f t="shared" si="2"/>
        <v>650</v>
      </c>
    </row>
    <row r="59" spans="1:11">
      <c r="A59" s="35"/>
      <c r="B59" s="24">
        <v>55</v>
      </c>
      <c r="C59" s="23"/>
      <c r="D59" s="23"/>
      <c r="E59" s="24"/>
      <c r="F59" s="24"/>
      <c r="G59" s="24"/>
      <c r="H59" s="24"/>
      <c r="I59" s="24"/>
      <c r="J59" s="24" t="str">
        <f t="shared" si="1"/>
        <v/>
      </c>
      <c r="K59" s="24">
        <f t="shared" si="2"/>
        <v>650</v>
      </c>
    </row>
    <row r="60" spans="1:11">
      <c r="A60" s="35"/>
      <c r="B60" s="24">
        <v>56</v>
      </c>
      <c r="C60" s="23"/>
      <c r="D60" s="23"/>
      <c r="E60" s="24"/>
      <c r="F60" s="24"/>
      <c r="G60" s="24"/>
      <c r="H60" s="24"/>
      <c r="I60" s="24"/>
      <c r="J60" s="24" t="str">
        <f t="shared" si="1"/>
        <v/>
      </c>
      <c r="K60" s="24">
        <f t="shared" si="2"/>
        <v>650</v>
      </c>
    </row>
    <row r="61" spans="1:11">
      <c r="A61" s="35"/>
      <c r="B61" s="24">
        <v>57</v>
      </c>
      <c r="C61" s="23"/>
      <c r="D61" s="23"/>
      <c r="E61" s="24"/>
      <c r="F61" s="24"/>
      <c r="G61" s="24"/>
      <c r="H61" s="24"/>
      <c r="I61" s="24"/>
      <c r="J61" s="24" t="str">
        <f t="shared" si="1"/>
        <v/>
      </c>
      <c r="K61" s="24">
        <f t="shared" si="2"/>
        <v>650</v>
      </c>
    </row>
    <row r="62" spans="1:11">
      <c r="A62" s="35"/>
      <c r="B62" s="24">
        <v>58</v>
      </c>
      <c r="C62" s="23"/>
      <c r="D62" s="23"/>
      <c r="E62" s="24"/>
      <c r="F62" s="24"/>
      <c r="G62" s="24"/>
      <c r="H62" s="24"/>
      <c r="I62" s="24"/>
      <c r="J62" s="24" t="str">
        <f t="shared" si="1"/>
        <v/>
      </c>
      <c r="K62" s="24">
        <f t="shared" si="2"/>
        <v>650</v>
      </c>
    </row>
    <row r="63" spans="1:11">
      <c r="A63" s="35"/>
      <c r="B63" s="24">
        <v>59</v>
      </c>
      <c r="C63" s="23"/>
      <c r="D63" s="23"/>
      <c r="E63" s="24"/>
      <c r="F63" s="24"/>
      <c r="G63" s="24"/>
      <c r="H63" s="24"/>
      <c r="I63" s="24"/>
      <c r="J63" s="24" t="str">
        <f t="shared" si="1"/>
        <v/>
      </c>
      <c r="K63" s="24">
        <f t="shared" si="2"/>
        <v>650</v>
      </c>
    </row>
    <row r="64" spans="1:11">
      <c r="A64" s="35"/>
      <c r="B64" s="24">
        <v>60</v>
      </c>
      <c r="C64" s="23"/>
      <c r="D64" s="23"/>
      <c r="E64" s="24"/>
      <c r="F64" s="24"/>
      <c r="G64" s="24"/>
      <c r="H64" s="24"/>
      <c r="I64" s="24"/>
      <c r="J64" s="24" t="str">
        <f t="shared" si="1"/>
        <v/>
      </c>
      <c r="K64" s="24">
        <f t="shared" si="2"/>
        <v>650</v>
      </c>
    </row>
    <row r="65" spans="1:11">
      <c r="A65" s="35"/>
      <c r="B65" s="34"/>
      <c r="C65" s="34"/>
      <c r="D65" s="34"/>
      <c r="E65" s="34"/>
      <c r="F65" s="34"/>
      <c r="G65" s="34"/>
      <c r="H65" s="34"/>
      <c r="I65" s="33" t="s">
        <v>31</v>
      </c>
      <c r="J65" s="33"/>
      <c r="K65" s="24">
        <f>SUM(K5:K53)</f>
        <v>23990</v>
      </c>
    </row>
    <row r="66" spans="1:11">
      <c r="I66" s="27"/>
      <c r="J66" s="27"/>
      <c r="K66" s="24"/>
    </row>
    <row r="67" spans="1:11">
      <c r="I67" s="27"/>
      <c r="J67" s="27"/>
      <c r="K67" s="24"/>
    </row>
    <row r="69" spans="1:11">
      <c r="A69" s="23">
        <v>2</v>
      </c>
      <c r="B69" s="23" t="s">
        <v>0</v>
      </c>
      <c r="C69" s="28" t="str">
        <f>IF('Navigation and Summary'!$B$10="", "", 'Navigation and Summary'!$B$10)</f>
        <v>Nur-1</v>
      </c>
      <c r="D69" s="28"/>
      <c r="E69" s="23" t="s">
        <v>37</v>
      </c>
      <c r="F69" s="24">
        <f>IF('Navigation and Summary'!$C$10="", "", 'Navigation and Summary'!$C$10)</f>
        <v>650</v>
      </c>
      <c r="G69" s="23" t="s">
        <v>34</v>
      </c>
      <c r="H69" s="24" t="str">
        <f>IF(C69="", "", 'Navigation and Summary'!$G$6)</f>
        <v>2025-26</v>
      </c>
    </row>
    <row r="70" spans="1:11">
      <c r="A70" s="35"/>
      <c r="B70" s="35" t="s">
        <v>32</v>
      </c>
      <c r="C70" s="35"/>
      <c r="D70" s="35"/>
      <c r="E70" s="35"/>
      <c r="F70" s="35"/>
      <c r="G70" s="35"/>
      <c r="H70" s="35"/>
      <c r="I70" s="23"/>
      <c r="J70" s="23"/>
      <c r="K70" s="23"/>
    </row>
    <row r="71" spans="1:11" ht="28.5">
      <c r="A71" s="35"/>
      <c r="B71" s="25" t="s">
        <v>1</v>
      </c>
      <c r="C71" s="25" t="s">
        <v>2</v>
      </c>
      <c r="D71" s="25" t="s">
        <v>745</v>
      </c>
      <c r="E71" s="25" t="s">
        <v>3</v>
      </c>
      <c r="F71" s="25" t="s">
        <v>4</v>
      </c>
      <c r="G71" s="25" t="s">
        <v>5</v>
      </c>
      <c r="H71" s="25" t="s">
        <v>6</v>
      </c>
      <c r="I71" s="25" t="s">
        <v>7</v>
      </c>
      <c r="J71" s="25" t="s">
        <v>8</v>
      </c>
      <c r="K71" s="25" t="s">
        <v>9</v>
      </c>
    </row>
    <row r="72" spans="1:11">
      <c r="A72" s="35"/>
      <c r="B72" s="24">
        <v>1</v>
      </c>
      <c r="C72" s="23" t="s">
        <v>111</v>
      </c>
      <c r="D72" s="23" t="s">
        <v>747</v>
      </c>
      <c r="E72" s="24">
        <v>300</v>
      </c>
      <c r="F72" s="24"/>
      <c r="G72" s="24"/>
      <c r="H72" s="24"/>
      <c r="I72" s="24"/>
      <c r="J72" s="24">
        <f>IF(SUM(E72:I72)=0, "", SUM(E72:I72))</f>
        <v>300</v>
      </c>
      <c r="K72" s="24">
        <f xml:space="preserve"> IFERROR(IF(($F$69-J72)=0, 0, ($F$69-J72)),$F$69)</f>
        <v>350</v>
      </c>
    </row>
    <row r="73" spans="1:11">
      <c r="A73" s="35"/>
      <c r="B73" s="24">
        <v>2</v>
      </c>
      <c r="C73" s="23" t="s">
        <v>216</v>
      </c>
      <c r="D73" s="23" t="s">
        <v>746</v>
      </c>
      <c r="E73" s="24"/>
      <c r="F73" s="24"/>
      <c r="G73" s="24"/>
      <c r="H73" s="24"/>
      <c r="I73" s="24"/>
      <c r="J73" s="24" t="str">
        <f t="shared" ref="J73:J131" si="3">IF(SUM(E73:I73)=0, "", SUM(E73:I73))</f>
        <v/>
      </c>
      <c r="K73" s="24">
        <f t="shared" ref="K73:K131" si="4" xml:space="preserve"> IFERROR(IF(($F$69-J73)=0, 0, ($F$69-J73)),$F$69)</f>
        <v>650</v>
      </c>
    </row>
    <row r="74" spans="1:11">
      <c r="A74" s="35"/>
      <c r="B74" s="24">
        <v>3</v>
      </c>
      <c r="C74" s="23" t="s">
        <v>185</v>
      </c>
      <c r="D74" s="23" t="s">
        <v>746</v>
      </c>
      <c r="E74" s="24">
        <v>400</v>
      </c>
      <c r="F74" s="24">
        <v>250</v>
      </c>
      <c r="G74" s="24"/>
      <c r="H74" s="24"/>
      <c r="I74" s="24"/>
      <c r="J74" s="24">
        <f t="shared" si="3"/>
        <v>650</v>
      </c>
      <c r="K74" s="24">
        <f t="shared" si="4"/>
        <v>0</v>
      </c>
    </row>
    <row r="75" spans="1:11">
      <c r="A75" s="35"/>
      <c r="B75" s="24">
        <v>4</v>
      </c>
      <c r="C75" s="23" t="s">
        <v>110</v>
      </c>
      <c r="D75" s="23" t="s">
        <v>747</v>
      </c>
      <c r="E75" s="24">
        <v>650</v>
      </c>
      <c r="F75" s="24"/>
      <c r="G75" s="24"/>
      <c r="H75" s="24"/>
      <c r="I75" s="24"/>
      <c r="J75" s="24">
        <f t="shared" si="3"/>
        <v>650</v>
      </c>
      <c r="K75" s="24">
        <f t="shared" si="4"/>
        <v>0</v>
      </c>
    </row>
    <row r="76" spans="1:11">
      <c r="A76" s="35"/>
      <c r="B76" s="24">
        <v>5</v>
      </c>
      <c r="C76" s="23" t="s">
        <v>109</v>
      </c>
      <c r="D76" s="23" t="s">
        <v>746</v>
      </c>
      <c r="E76" s="24">
        <v>150</v>
      </c>
      <c r="F76" s="24">
        <v>100</v>
      </c>
      <c r="G76" s="24"/>
      <c r="H76" s="24"/>
      <c r="I76" s="24"/>
      <c r="J76" s="24">
        <f t="shared" si="3"/>
        <v>250</v>
      </c>
      <c r="K76" s="24">
        <f t="shared" si="4"/>
        <v>400</v>
      </c>
    </row>
    <row r="77" spans="1:11">
      <c r="A77" s="35"/>
      <c r="B77" s="24">
        <v>6</v>
      </c>
      <c r="C77" s="23" t="s">
        <v>619</v>
      </c>
      <c r="D77" s="23" t="s">
        <v>747</v>
      </c>
      <c r="E77" s="24">
        <v>300</v>
      </c>
      <c r="F77" s="24"/>
      <c r="G77" s="24"/>
      <c r="H77" s="24"/>
      <c r="I77" s="24"/>
      <c r="J77" s="24">
        <f t="shared" si="3"/>
        <v>300</v>
      </c>
      <c r="K77" s="24">
        <f t="shared" si="4"/>
        <v>350</v>
      </c>
    </row>
    <row r="78" spans="1:11">
      <c r="A78" s="35"/>
      <c r="B78" s="24">
        <v>7</v>
      </c>
      <c r="C78" s="23" t="s">
        <v>689</v>
      </c>
      <c r="D78" s="23" t="s">
        <v>747</v>
      </c>
      <c r="E78" s="24">
        <v>300</v>
      </c>
      <c r="F78" s="24">
        <v>300</v>
      </c>
      <c r="G78" s="24"/>
      <c r="H78" s="24"/>
      <c r="I78" s="24"/>
      <c r="J78" s="24">
        <f t="shared" si="3"/>
        <v>600</v>
      </c>
      <c r="K78" s="24">
        <f t="shared" si="4"/>
        <v>50</v>
      </c>
    </row>
    <row r="79" spans="1:11">
      <c r="A79" s="35"/>
      <c r="B79" s="24">
        <v>8</v>
      </c>
      <c r="C79" s="23" t="s">
        <v>715</v>
      </c>
      <c r="D79" s="23" t="s">
        <v>747</v>
      </c>
      <c r="F79" s="24"/>
      <c r="G79" s="24"/>
      <c r="H79" s="24"/>
      <c r="I79" s="24"/>
      <c r="J79" s="24" t="str">
        <f t="shared" si="3"/>
        <v/>
      </c>
      <c r="K79" s="24">
        <f t="shared" si="4"/>
        <v>650</v>
      </c>
    </row>
    <row r="80" spans="1:11">
      <c r="A80" s="35"/>
      <c r="B80" s="24">
        <v>9</v>
      </c>
      <c r="C80" s="23" t="s">
        <v>210</v>
      </c>
      <c r="D80" s="23" t="s">
        <v>746</v>
      </c>
      <c r="E80" s="24"/>
      <c r="F80" s="24"/>
      <c r="G80" s="24"/>
      <c r="H80" s="24"/>
      <c r="I80" s="24"/>
      <c r="J80" s="24" t="str">
        <f t="shared" si="3"/>
        <v/>
      </c>
      <c r="K80" s="24">
        <f t="shared" si="4"/>
        <v>650</v>
      </c>
    </row>
    <row r="81" spans="1:11">
      <c r="A81" s="35"/>
      <c r="B81" s="24">
        <v>10</v>
      </c>
      <c r="C81" s="23" t="s">
        <v>681</v>
      </c>
      <c r="D81" s="23" t="s">
        <v>746</v>
      </c>
      <c r="E81" s="24">
        <v>250</v>
      </c>
      <c r="F81" s="24"/>
      <c r="G81" s="24"/>
      <c r="H81" s="24"/>
      <c r="I81" s="24"/>
      <c r="J81" s="24">
        <f t="shared" si="3"/>
        <v>250</v>
      </c>
      <c r="K81" s="24">
        <f t="shared" si="4"/>
        <v>400</v>
      </c>
    </row>
    <row r="82" spans="1:11">
      <c r="A82" s="35"/>
      <c r="B82" s="24">
        <v>11</v>
      </c>
      <c r="C82" s="23" t="s">
        <v>727</v>
      </c>
      <c r="D82" s="23" t="s">
        <v>746</v>
      </c>
      <c r="E82" s="24">
        <v>300</v>
      </c>
      <c r="F82" s="24"/>
      <c r="G82" s="24"/>
      <c r="H82" s="24"/>
      <c r="I82" s="24"/>
      <c r="J82" s="24">
        <f t="shared" si="3"/>
        <v>300</v>
      </c>
      <c r="K82" s="24">
        <f t="shared" si="4"/>
        <v>350</v>
      </c>
    </row>
    <row r="83" spans="1:11">
      <c r="A83" s="35"/>
      <c r="B83" s="24">
        <v>12</v>
      </c>
      <c r="C83" s="23" t="s">
        <v>213</v>
      </c>
      <c r="D83" s="23" t="s">
        <v>747</v>
      </c>
      <c r="E83" s="24"/>
      <c r="F83" s="24"/>
      <c r="G83" s="24"/>
      <c r="H83" s="24"/>
      <c r="I83" s="24"/>
      <c r="J83" s="24" t="str">
        <f t="shared" si="3"/>
        <v/>
      </c>
      <c r="K83" s="24">
        <f t="shared" si="4"/>
        <v>650</v>
      </c>
    </row>
    <row r="84" spans="1:11">
      <c r="A84" s="35"/>
      <c r="B84" s="24">
        <v>13</v>
      </c>
      <c r="C84" s="23" t="s">
        <v>218</v>
      </c>
      <c r="D84" s="23" t="s">
        <v>747</v>
      </c>
      <c r="E84" s="24"/>
      <c r="F84" s="24"/>
      <c r="G84" s="24"/>
      <c r="H84" s="24"/>
      <c r="I84" s="24"/>
      <c r="J84" s="24" t="str">
        <f t="shared" si="3"/>
        <v/>
      </c>
      <c r="K84" s="24">
        <f t="shared" si="4"/>
        <v>650</v>
      </c>
    </row>
    <row r="85" spans="1:11">
      <c r="A85" s="35"/>
      <c r="B85" s="24">
        <v>14</v>
      </c>
      <c r="C85" s="23" t="s">
        <v>205</v>
      </c>
      <c r="D85" s="23" t="s">
        <v>747</v>
      </c>
      <c r="E85" s="24">
        <v>650</v>
      </c>
      <c r="F85" s="24"/>
      <c r="G85" s="24"/>
      <c r="H85" s="24"/>
      <c r="I85" s="24"/>
      <c r="J85" s="24">
        <f t="shared" si="3"/>
        <v>650</v>
      </c>
      <c r="K85" s="24">
        <f t="shared" si="4"/>
        <v>0</v>
      </c>
    </row>
    <row r="86" spans="1:11">
      <c r="A86" s="35"/>
      <c r="B86" s="24">
        <v>15</v>
      </c>
      <c r="C86" s="23" t="s">
        <v>635</v>
      </c>
      <c r="D86" s="23" t="s">
        <v>747</v>
      </c>
      <c r="E86" s="24">
        <v>300</v>
      </c>
      <c r="F86" s="24"/>
      <c r="G86" s="24"/>
      <c r="H86" s="24"/>
      <c r="I86" s="24"/>
      <c r="J86" s="24">
        <f t="shared" si="3"/>
        <v>300</v>
      </c>
      <c r="K86" s="24">
        <f t="shared" si="4"/>
        <v>350</v>
      </c>
    </row>
    <row r="87" spans="1:11">
      <c r="A87" s="35"/>
      <c r="B87" s="24">
        <v>16</v>
      </c>
      <c r="C87" s="23" t="s">
        <v>177</v>
      </c>
      <c r="D87" s="23" t="s">
        <v>747</v>
      </c>
      <c r="E87" s="24">
        <v>600</v>
      </c>
      <c r="F87" s="24">
        <v>50</v>
      </c>
      <c r="G87" s="24"/>
      <c r="H87" s="24"/>
      <c r="I87" s="24"/>
      <c r="J87" s="24">
        <f t="shared" si="3"/>
        <v>650</v>
      </c>
      <c r="K87" s="24">
        <f t="shared" si="4"/>
        <v>0</v>
      </c>
    </row>
    <row r="88" spans="1:11">
      <c r="A88" s="35"/>
      <c r="B88" s="24">
        <v>17</v>
      </c>
      <c r="C88" s="23" t="s">
        <v>686</v>
      </c>
      <c r="D88" s="23" t="s">
        <v>747</v>
      </c>
      <c r="E88" s="24">
        <v>250</v>
      </c>
      <c r="F88" s="24"/>
      <c r="G88" s="24"/>
      <c r="H88" s="24"/>
      <c r="I88" s="24"/>
      <c r="J88" s="24">
        <f t="shared" si="3"/>
        <v>250</v>
      </c>
      <c r="K88" s="24">
        <f t="shared" si="4"/>
        <v>400</v>
      </c>
    </row>
    <row r="89" spans="1:11">
      <c r="A89" s="35"/>
      <c r="B89" s="24">
        <v>18</v>
      </c>
      <c r="C89" s="23" t="s">
        <v>220</v>
      </c>
      <c r="D89" s="23" t="s">
        <v>746</v>
      </c>
      <c r="E89" s="24"/>
      <c r="F89" s="24"/>
      <c r="G89" s="24"/>
      <c r="H89" s="24"/>
      <c r="I89" s="24"/>
      <c r="J89" s="24" t="str">
        <f t="shared" si="3"/>
        <v/>
      </c>
      <c r="K89" s="24">
        <f t="shared" si="4"/>
        <v>650</v>
      </c>
    </row>
    <row r="90" spans="1:11">
      <c r="A90" s="35"/>
      <c r="B90" s="24">
        <v>19</v>
      </c>
      <c r="C90" s="23" t="s">
        <v>198</v>
      </c>
      <c r="D90" s="23" t="s">
        <v>747</v>
      </c>
      <c r="E90" s="24">
        <v>400</v>
      </c>
      <c r="F90" s="24">
        <v>250</v>
      </c>
      <c r="G90" s="24"/>
      <c r="H90" s="24"/>
      <c r="I90" s="24"/>
      <c r="J90" s="24">
        <f t="shared" si="3"/>
        <v>650</v>
      </c>
      <c r="K90" s="24">
        <f t="shared" si="4"/>
        <v>0</v>
      </c>
    </row>
    <row r="91" spans="1:11">
      <c r="A91" s="35"/>
      <c r="B91" s="24">
        <v>20</v>
      </c>
      <c r="C91" s="23" t="s">
        <v>175</v>
      </c>
      <c r="D91" s="23" t="s">
        <v>747</v>
      </c>
      <c r="E91" s="24">
        <v>300</v>
      </c>
      <c r="F91" s="24"/>
      <c r="G91" s="24"/>
      <c r="H91" s="24"/>
      <c r="I91" s="24"/>
      <c r="J91" s="24">
        <f t="shared" si="3"/>
        <v>300</v>
      </c>
      <c r="K91" s="24">
        <f t="shared" si="4"/>
        <v>350</v>
      </c>
    </row>
    <row r="92" spans="1:11">
      <c r="A92" s="35"/>
      <c r="B92" s="24">
        <v>21</v>
      </c>
      <c r="C92" s="23" t="s">
        <v>114</v>
      </c>
      <c r="D92" s="23" t="s">
        <v>747</v>
      </c>
      <c r="E92" s="24"/>
      <c r="F92" s="24"/>
      <c r="G92" s="24"/>
      <c r="H92" s="24"/>
      <c r="I92" s="24"/>
      <c r="J92" s="24" t="str">
        <f t="shared" si="3"/>
        <v/>
      </c>
      <c r="K92" s="24">
        <f t="shared" si="4"/>
        <v>650</v>
      </c>
    </row>
    <row r="93" spans="1:11">
      <c r="A93" s="35"/>
      <c r="B93" s="24">
        <v>22</v>
      </c>
      <c r="C93" s="23" t="s">
        <v>108</v>
      </c>
      <c r="D93" s="23" t="s">
        <v>747</v>
      </c>
      <c r="E93" s="24">
        <v>650</v>
      </c>
      <c r="F93" s="24"/>
      <c r="G93" s="24"/>
      <c r="H93" s="24"/>
      <c r="I93" s="24"/>
      <c r="J93" s="24">
        <f t="shared" si="3"/>
        <v>650</v>
      </c>
      <c r="K93" s="24">
        <f t="shared" si="4"/>
        <v>0</v>
      </c>
    </row>
    <row r="94" spans="1:11">
      <c r="A94" s="35"/>
      <c r="B94" s="24">
        <v>23</v>
      </c>
      <c r="C94" s="23" t="s">
        <v>112</v>
      </c>
      <c r="D94" s="23" t="s">
        <v>747</v>
      </c>
      <c r="E94" s="24">
        <v>600</v>
      </c>
      <c r="F94" s="24"/>
      <c r="G94" s="24"/>
      <c r="H94" s="24"/>
      <c r="I94" s="24"/>
      <c r="J94" s="24">
        <f t="shared" si="3"/>
        <v>600</v>
      </c>
      <c r="K94" s="24">
        <f t="shared" si="4"/>
        <v>50</v>
      </c>
    </row>
    <row r="95" spans="1:11">
      <c r="A95" s="35"/>
      <c r="B95" s="24">
        <v>24</v>
      </c>
      <c r="C95" s="23" t="s">
        <v>217</v>
      </c>
      <c r="D95" s="23" t="s">
        <v>746</v>
      </c>
      <c r="E95" s="24"/>
      <c r="F95" s="24"/>
      <c r="G95" s="24"/>
      <c r="H95" s="24"/>
      <c r="I95" s="24"/>
      <c r="J95" s="24" t="str">
        <f t="shared" si="3"/>
        <v/>
      </c>
      <c r="K95" s="24">
        <f t="shared" si="4"/>
        <v>650</v>
      </c>
    </row>
    <row r="96" spans="1:11">
      <c r="A96" s="35"/>
      <c r="B96" s="24">
        <v>25</v>
      </c>
      <c r="C96" s="23" t="s">
        <v>636</v>
      </c>
      <c r="D96" s="23" t="s">
        <v>747</v>
      </c>
      <c r="E96" s="24">
        <v>300</v>
      </c>
      <c r="F96" s="24"/>
      <c r="G96" s="24"/>
      <c r="H96" s="24"/>
      <c r="I96" s="24"/>
      <c r="J96" s="24">
        <f t="shared" si="3"/>
        <v>300</v>
      </c>
      <c r="K96" s="24">
        <f t="shared" si="4"/>
        <v>350</v>
      </c>
    </row>
    <row r="97" spans="1:11">
      <c r="A97" s="35"/>
      <c r="B97" s="24">
        <v>26</v>
      </c>
      <c r="C97" s="23" t="s">
        <v>637</v>
      </c>
      <c r="D97" s="23" t="s">
        <v>746</v>
      </c>
      <c r="E97" s="24">
        <v>300</v>
      </c>
      <c r="F97" s="24"/>
      <c r="G97" s="24"/>
      <c r="H97" s="24"/>
      <c r="I97" s="24"/>
      <c r="J97" s="24">
        <f t="shared" si="3"/>
        <v>300</v>
      </c>
      <c r="K97" s="24">
        <f t="shared" si="4"/>
        <v>350</v>
      </c>
    </row>
    <row r="98" spans="1:11">
      <c r="A98" s="35"/>
      <c r="B98" s="24">
        <v>27</v>
      </c>
      <c r="C98" s="23" t="s">
        <v>714</v>
      </c>
      <c r="D98" s="23" t="s">
        <v>746</v>
      </c>
      <c r="E98" s="24"/>
      <c r="F98" s="24"/>
      <c r="G98" s="24"/>
      <c r="H98" s="24"/>
      <c r="I98" s="24"/>
      <c r="J98" s="24" t="str">
        <f t="shared" si="3"/>
        <v/>
      </c>
      <c r="K98" s="24">
        <f t="shared" si="4"/>
        <v>650</v>
      </c>
    </row>
    <row r="99" spans="1:11">
      <c r="A99" s="35"/>
      <c r="B99" s="24">
        <v>28</v>
      </c>
      <c r="C99" s="23" t="s">
        <v>113</v>
      </c>
      <c r="D99" s="23" t="s">
        <v>746</v>
      </c>
      <c r="E99" s="24">
        <v>650</v>
      </c>
      <c r="F99" s="24"/>
      <c r="G99" s="24"/>
      <c r="H99" s="24"/>
      <c r="I99" s="24"/>
      <c r="J99" s="24">
        <f t="shared" si="3"/>
        <v>650</v>
      </c>
      <c r="K99" s="24">
        <f t="shared" si="4"/>
        <v>0</v>
      </c>
    </row>
    <row r="100" spans="1:11">
      <c r="A100" s="35"/>
      <c r="B100" s="24">
        <v>29</v>
      </c>
      <c r="C100" s="23" t="s">
        <v>625</v>
      </c>
      <c r="D100" s="23" t="s">
        <v>746</v>
      </c>
      <c r="E100" s="24">
        <v>650</v>
      </c>
      <c r="F100" s="24"/>
      <c r="G100" s="24"/>
      <c r="H100" s="24"/>
      <c r="I100" s="24"/>
      <c r="J100" s="24">
        <f t="shared" si="3"/>
        <v>650</v>
      </c>
      <c r="K100" s="24">
        <f t="shared" si="4"/>
        <v>0</v>
      </c>
    </row>
    <row r="101" spans="1:11">
      <c r="A101" s="35"/>
      <c r="B101" s="24">
        <v>30</v>
      </c>
      <c r="C101" s="23" t="s">
        <v>716</v>
      </c>
      <c r="D101" s="23" t="s">
        <v>747</v>
      </c>
      <c r="E101" s="24"/>
      <c r="F101" s="24"/>
      <c r="G101" s="24"/>
      <c r="H101" s="24"/>
      <c r="I101" s="24"/>
      <c r="J101" s="24" t="str">
        <f t="shared" si="3"/>
        <v/>
      </c>
      <c r="K101" s="24">
        <f t="shared" si="4"/>
        <v>650</v>
      </c>
    </row>
    <row r="102" spans="1:11">
      <c r="A102" s="35"/>
      <c r="B102" s="24">
        <v>31</v>
      </c>
      <c r="C102" s="23"/>
      <c r="D102" s="23"/>
      <c r="E102" s="24"/>
      <c r="F102" s="24"/>
      <c r="G102" s="24"/>
      <c r="H102" s="24"/>
      <c r="I102" s="24"/>
      <c r="J102" s="24" t="str">
        <f t="shared" si="3"/>
        <v/>
      </c>
      <c r="K102" s="24">
        <f t="shared" si="4"/>
        <v>650</v>
      </c>
    </row>
    <row r="103" spans="1:11">
      <c r="A103" s="35"/>
      <c r="B103" s="24">
        <v>32</v>
      </c>
      <c r="C103" s="23"/>
      <c r="D103" s="23"/>
      <c r="E103" s="24"/>
      <c r="F103" s="24"/>
      <c r="G103" s="24"/>
      <c r="H103" s="24"/>
      <c r="I103" s="24"/>
      <c r="J103" s="24" t="str">
        <f t="shared" si="3"/>
        <v/>
      </c>
      <c r="K103" s="24">
        <f t="shared" si="4"/>
        <v>650</v>
      </c>
    </row>
    <row r="104" spans="1:11">
      <c r="A104" s="35"/>
      <c r="B104" s="24">
        <v>33</v>
      </c>
      <c r="C104" s="23"/>
      <c r="D104" s="23"/>
      <c r="E104" s="24"/>
      <c r="F104" s="24"/>
      <c r="G104" s="24"/>
      <c r="H104" s="24"/>
      <c r="I104" s="24"/>
      <c r="J104" s="24" t="str">
        <f t="shared" si="3"/>
        <v/>
      </c>
      <c r="K104" s="24">
        <f t="shared" si="4"/>
        <v>650</v>
      </c>
    </row>
    <row r="105" spans="1:11">
      <c r="A105" s="35"/>
      <c r="B105" s="24">
        <v>34</v>
      </c>
      <c r="C105" s="23"/>
      <c r="D105" s="23"/>
      <c r="E105" s="24"/>
      <c r="F105" s="24"/>
      <c r="G105" s="24"/>
      <c r="H105" s="24"/>
      <c r="I105" s="24"/>
      <c r="J105" s="24" t="str">
        <f t="shared" si="3"/>
        <v/>
      </c>
      <c r="K105" s="24">
        <f t="shared" si="4"/>
        <v>650</v>
      </c>
    </row>
    <row r="106" spans="1:11">
      <c r="A106" s="35"/>
      <c r="B106" s="24">
        <v>35</v>
      </c>
      <c r="C106" s="23"/>
      <c r="D106" s="23"/>
      <c r="E106" s="24"/>
      <c r="F106" s="24"/>
      <c r="G106" s="24"/>
      <c r="H106" s="24"/>
      <c r="I106" s="24"/>
      <c r="J106" s="24" t="str">
        <f t="shared" si="3"/>
        <v/>
      </c>
      <c r="K106" s="24">
        <f t="shared" si="4"/>
        <v>650</v>
      </c>
    </row>
    <row r="107" spans="1:11">
      <c r="A107" s="35"/>
      <c r="B107" s="24">
        <v>36</v>
      </c>
      <c r="C107" s="23"/>
      <c r="D107" s="23"/>
      <c r="E107" s="24"/>
      <c r="F107" s="24"/>
      <c r="G107" s="24"/>
      <c r="H107" s="24"/>
      <c r="I107" s="24"/>
      <c r="J107" s="24" t="str">
        <f t="shared" si="3"/>
        <v/>
      </c>
      <c r="K107" s="24">
        <f t="shared" si="4"/>
        <v>650</v>
      </c>
    </row>
    <row r="108" spans="1:11">
      <c r="A108" s="35"/>
      <c r="B108" s="24">
        <v>37</v>
      </c>
      <c r="C108" s="23"/>
      <c r="D108" s="23"/>
      <c r="E108" s="24"/>
      <c r="F108" s="24"/>
      <c r="G108" s="24"/>
      <c r="H108" s="24"/>
      <c r="I108" s="24"/>
      <c r="J108" s="24" t="str">
        <f t="shared" si="3"/>
        <v/>
      </c>
      <c r="K108" s="24">
        <f t="shared" si="4"/>
        <v>650</v>
      </c>
    </row>
    <row r="109" spans="1:11">
      <c r="A109" s="35"/>
      <c r="B109" s="24">
        <v>38</v>
      </c>
      <c r="C109" s="23"/>
      <c r="D109" s="23"/>
      <c r="E109" s="24"/>
      <c r="F109" s="24"/>
      <c r="G109" s="24"/>
      <c r="H109" s="24"/>
      <c r="I109" s="24"/>
      <c r="J109" s="24" t="str">
        <f t="shared" si="3"/>
        <v/>
      </c>
      <c r="K109" s="24">
        <f t="shared" si="4"/>
        <v>650</v>
      </c>
    </row>
    <row r="110" spans="1:11">
      <c r="A110" s="35"/>
      <c r="B110" s="24">
        <v>39</v>
      </c>
      <c r="C110" s="23"/>
      <c r="D110" s="23"/>
      <c r="E110" s="24"/>
      <c r="F110" s="24"/>
      <c r="G110" s="24"/>
      <c r="H110" s="24"/>
      <c r="I110" s="24"/>
      <c r="J110" s="24" t="str">
        <f t="shared" si="3"/>
        <v/>
      </c>
      <c r="K110" s="24">
        <f t="shared" si="4"/>
        <v>650</v>
      </c>
    </row>
    <row r="111" spans="1:11">
      <c r="A111" s="35"/>
      <c r="B111" s="24">
        <v>40</v>
      </c>
      <c r="C111" s="23"/>
      <c r="D111" s="23"/>
      <c r="E111" s="24"/>
      <c r="F111" s="24"/>
      <c r="G111" s="24"/>
      <c r="H111" s="24"/>
      <c r="I111" s="24"/>
      <c r="J111" s="24" t="str">
        <f t="shared" si="3"/>
        <v/>
      </c>
      <c r="K111" s="24">
        <f t="shared" si="4"/>
        <v>650</v>
      </c>
    </row>
    <row r="112" spans="1:11">
      <c r="A112" s="35"/>
      <c r="B112" s="24">
        <v>41</v>
      </c>
      <c r="C112" s="23"/>
      <c r="D112" s="23"/>
      <c r="E112" s="24"/>
      <c r="F112" s="24"/>
      <c r="G112" s="24"/>
      <c r="H112" s="24"/>
      <c r="I112" s="24"/>
      <c r="J112" s="24" t="str">
        <f t="shared" si="3"/>
        <v/>
      </c>
      <c r="K112" s="24">
        <f t="shared" si="4"/>
        <v>650</v>
      </c>
    </row>
    <row r="113" spans="1:11">
      <c r="A113" s="35"/>
      <c r="B113" s="24">
        <v>42</v>
      </c>
      <c r="C113" s="23"/>
      <c r="D113" s="23"/>
      <c r="E113" s="24"/>
      <c r="F113" s="24"/>
      <c r="G113" s="24"/>
      <c r="H113" s="24"/>
      <c r="I113" s="24"/>
      <c r="J113" s="24" t="str">
        <f t="shared" si="3"/>
        <v/>
      </c>
      <c r="K113" s="24">
        <f t="shared" si="4"/>
        <v>650</v>
      </c>
    </row>
    <row r="114" spans="1:11">
      <c r="A114" s="35"/>
      <c r="B114" s="24">
        <v>43</v>
      </c>
      <c r="C114" s="23"/>
      <c r="D114" s="23"/>
      <c r="E114" s="24"/>
      <c r="F114" s="24"/>
      <c r="G114" s="24"/>
      <c r="H114" s="24"/>
      <c r="I114" s="24"/>
      <c r="J114" s="24" t="str">
        <f t="shared" si="3"/>
        <v/>
      </c>
      <c r="K114" s="24">
        <f t="shared" si="4"/>
        <v>650</v>
      </c>
    </row>
    <row r="115" spans="1:11">
      <c r="A115" s="35"/>
      <c r="B115" s="24">
        <v>44</v>
      </c>
      <c r="C115" s="23"/>
      <c r="D115" s="23"/>
      <c r="E115" s="24"/>
      <c r="F115" s="24"/>
      <c r="G115" s="24"/>
      <c r="H115" s="24"/>
      <c r="I115" s="24"/>
      <c r="J115" s="24" t="str">
        <f t="shared" si="3"/>
        <v/>
      </c>
      <c r="K115" s="24">
        <f t="shared" si="4"/>
        <v>650</v>
      </c>
    </row>
    <row r="116" spans="1:11">
      <c r="A116" s="35"/>
      <c r="B116" s="24">
        <v>45</v>
      </c>
      <c r="C116" s="23"/>
      <c r="D116" s="23"/>
      <c r="E116" s="24"/>
      <c r="F116" s="24"/>
      <c r="G116" s="24"/>
      <c r="H116" s="24"/>
      <c r="I116" s="24"/>
      <c r="J116" s="24" t="str">
        <f t="shared" si="3"/>
        <v/>
      </c>
      <c r="K116" s="24">
        <f t="shared" si="4"/>
        <v>650</v>
      </c>
    </row>
    <row r="117" spans="1:11">
      <c r="A117" s="35"/>
      <c r="B117" s="24">
        <v>46</v>
      </c>
      <c r="C117" s="23"/>
      <c r="D117" s="23"/>
      <c r="E117" s="24"/>
      <c r="F117" s="24"/>
      <c r="G117" s="24"/>
      <c r="H117" s="24"/>
      <c r="I117" s="24"/>
      <c r="J117" s="24" t="str">
        <f t="shared" si="3"/>
        <v/>
      </c>
      <c r="K117" s="24">
        <f t="shared" si="4"/>
        <v>650</v>
      </c>
    </row>
    <row r="118" spans="1:11">
      <c r="A118" s="35"/>
      <c r="B118" s="24">
        <v>47</v>
      </c>
      <c r="C118" s="23"/>
      <c r="D118" s="23"/>
      <c r="E118" s="24"/>
      <c r="F118" s="24"/>
      <c r="G118" s="24"/>
      <c r="H118" s="24"/>
      <c r="I118" s="24"/>
      <c r="J118" s="24" t="str">
        <f t="shared" si="3"/>
        <v/>
      </c>
      <c r="K118" s="24">
        <f t="shared" si="4"/>
        <v>650</v>
      </c>
    </row>
    <row r="119" spans="1:11">
      <c r="A119" s="35"/>
      <c r="B119" s="24">
        <v>48</v>
      </c>
      <c r="C119" s="23"/>
      <c r="D119" s="23"/>
      <c r="E119" s="24"/>
      <c r="F119" s="24"/>
      <c r="G119" s="24"/>
      <c r="H119" s="24"/>
      <c r="I119" s="24"/>
      <c r="J119" s="24" t="str">
        <f t="shared" si="3"/>
        <v/>
      </c>
      <c r="K119" s="24">
        <f t="shared" si="4"/>
        <v>650</v>
      </c>
    </row>
    <row r="120" spans="1:11">
      <c r="A120" s="35"/>
      <c r="B120" s="24">
        <v>49</v>
      </c>
      <c r="C120" s="23"/>
      <c r="D120" s="23"/>
      <c r="E120" s="24"/>
      <c r="F120" s="24"/>
      <c r="G120" s="24"/>
      <c r="H120" s="24"/>
      <c r="I120" s="24"/>
      <c r="J120" s="24" t="str">
        <f t="shared" si="3"/>
        <v/>
      </c>
      <c r="K120" s="24">
        <f t="shared" si="4"/>
        <v>650</v>
      </c>
    </row>
    <row r="121" spans="1:11">
      <c r="A121" s="35"/>
      <c r="B121" s="24">
        <v>50</v>
      </c>
      <c r="C121" s="23"/>
      <c r="D121" s="23"/>
      <c r="E121" s="24"/>
      <c r="F121" s="24"/>
      <c r="G121" s="24"/>
      <c r="H121" s="24"/>
      <c r="I121" s="24"/>
      <c r="J121" s="24" t="str">
        <f t="shared" si="3"/>
        <v/>
      </c>
      <c r="K121" s="24">
        <f t="shared" si="4"/>
        <v>650</v>
      </c>
    </row>
    <row r="122" spans="1:11">
      <c r="A122" s="35"/>
      <c r="B122" s="24">
        <v>51</v>
      </c>
      <c r="C122" s="23"/>
      <c r="D122" s="23"/>
      <c r="E122" s="24"/>
      <c r="F122" s="24"/>
      <c r="G122" s="24"/>
      <c r="H122" s="24"/>
      <c r="I122" s="24"/>
      <c r="J122" s="24" t="str">
        <f t="shared" si="3"/>
        <v/>
      </c>
      <c r="K122" s="24">
        <f t="shared" si="4"/>
        <v>650</v>
      </c>
    </row>
    <row r="123" spans="1:11">
      <c r="A123" s="35"/>
      <c r="B123" s="24">
        <v>52</v>
      </c>
      <c r="C123" s="23"/>
      <c r="D123" s="23"/>
      <c r="E123" s="24"/>
      <c r="F123" s="24"/>
      <c r="G123" s="24"/>
      <c r="H123" s="24"/>
      <c r="I123" s="24"/>
      <c r="J123" s="24" t="str">
        <f t="shared" si="3"/>
        <v/>
      </c>
      <c r="K123" s="24">
        <f t="shared" si="4"/>
        <v>650</v>
      </c>
    </row>
    <row r="124" spans="1:11">
      <c r="A124" s="35"/>
      <c r="B124" s="24">
        <v>53</v>
      </c>
      <c r="C124" s="23"/>
      <c r="D124" s="23"/>
      <c r="E124" s="24"/>
      <c r="F124" s="24"/>
      <c r="G124" s="24"/>
      <c r="H124" s="24"/>
      <c r="I124" s="24"/>
      <c r="J124" s="24" t="str">
        <f t="shared" si="3"/>
        <v/>
      </c>
      <c r="K124" s="24">
        <f t="shared" si="4"/>
        <v>650</v>
      </c>
    </row>
    <row r="125" spans="1:11">
      <c r="A125" s="35"/>
      <c r="B125" s="24">
        <v>54</v>
      </c>
      <c r="C125" s="23"/>
      <c r="D125" s="23"/>
      <c r="E125" s="24"/>
      <c r="F125" s="24"/>
      <c r="G125" s="24"/>
      <c r="H125" s="24"/>
      <c r="I125" s="24"/>
      <c r="J125" s="24" t="str">
        <f t="shared" si="3"/>
        <v/>
      </c>
      <c r="K125" s="24">
        <f t="shared" si="4"/>
        <v>650</v>
      </c>
    </row>
    <row r="126" spans="1:11">
      <c r="A126" s="35"/>
      <c r="B126" s="24">
        <v>55</v>
      </c>
      <c r="C126" s="23"/>
      <c r="D126" s="23"/>
      <c r="E126" s="24"/>
      <c r="F126" s="24"/>
      <c r="G126" s="24"/>
      <c r="H126" s="24"/>
      <c r="I126" s="24"/>
      <c r="J126" s="24" t="str">
        <f t="shared" si="3"/>
        <v/>
      </c>
      <c r="K126" s="24">
        <f t="shared" si="4"/>
        <v>650</v>
      </c>
    </row>
    <row r="127" spans="1:11">
      <c r="A127" s="35"/>
      <c r="B127" s="24">
        <v>56</v>
      </c>
      <c r="C127" s="23"/>
      <c r="D127" s="23"/>
      <c r="E127" s="24"/>
      <c r="F127" s="24"/>
      <c r="G127" s="24"/>
      <c r="H127" s="24"/>
      <c r="I127" s="24"/>
      <c r="J127" s="24" t="str">
        <f t="shared" si="3"/>
        <v/>
      </c>
      <c r="K127" s="24">
        <f t="shared" si="4"/>
        <v>650</v>
      </c>
    </row>
    <row r="128" spans="1:11">
      <c r="A128" s="35"/>
      <c r="B128" s="24">
        <v>57</v>
      </c>
      <c r="C128" s="23"/>
      <c r="D128" s="23"/>
      <c r="E128" s="24"/>
      <c r="F128" s="24"/>
      <c r="G128" s="24"/>
      <c r="H128" s="24"/>
      <c r="I128" s="24"/>
      <c r="J128" s="24" t="str">
        <f t="shared" si="3"/>
        <v/>
      </c>
      <c r="K128" s="24">
        <f t="shared" si="4"/>
        <v>650</v>
      </c>
    </row>
    <row r="129" spans="1:11">
      <c r="A129" s="35"/>
      <c r="B129" s="24">
        <v>58</v>
      </c>
      <c r="C129" s="23"/>
      <c r="D129" s="23"/>
      <c r="E129" s="24"/>
      <c r="F129" s="24"/>
      <c r="G129" s="24"/>
      <c r="H129" s="24"/>
      <c r="I129" s="24"/>
      <c r="J129" s="24" t="str">
        <f t="shared" si="3"/>
        <v/>
      </c>
      <c r="K129" s="24">
        <f t="shared" si="4"/>
        <v>650</v>
      </c>
    </row>
    <row r="130" spans="1:11">
      <c r="A130" s="35"/>
      <c r="B130" s="24">
        <v>59</v>
      </c>
      <c r="C130" s="23"/>
      <c r="D130" s="23"/>
      <c r="E130" s="24"/>
      <c r="F130" s="24"/>
      <c r="G130" s="24"/>
      <c r="H130" s="24"/>
      <c r="I130" s="24"/>
      <c r="J130" s="24" t="str">
        <f t="shared" si="3"/>
        <v/>
      </c>
      <c r="K130" s="24">
        <f t="shared" si="4"/>
        <v>650</v>
      </c>
    </row>
    <row r="131" spans="1:11">
      <c r="A131" s="35"/>
      <c r="B131" s="24">
        <v>60</v>
      </c>
      <c r="C131" s="23"/>
      <c r="D131" s="23"/>
      <c r="E131" s="24"/>
      <c r="F131" s="24"/>
      <c r="G131" s="24"/>
      <c r="H131" s="24"/>
      <c r="I131" s="24"/>
      <c r="J131" s="24" t="str">
        <f t="shared" si="3"/>
        <v/>
      </c>
      <c r="K131" s="24">
        <f t="shared" si="4"/>
        <v>650</v>
      </c>
    </row>
    <row r="132" spans="1:11">
      <c r="A132" s="35"/>
      <c r="B132" s="34"/>
      <c r="C132" s="34"/>
      <c r="D132" s="34"/>
      <c r="E132" s="34"/>
      <c r="F132" s="34"/>
      <c r="G132" s="34"/>
      <c r="H132" s="34"/>
      <c r="I132" s="33" t="s">
        <v>31</v>
      </c>
      <c r="J132" s="33"/>
      <c r="K132" s="24">
        <f>SUM(K72:K125)</f>
        <v>25850</v>
      </c>
    </row>
    <row r="133" spans="1:11">
      <c r="I133" s="27"/>
      <c r="J133" s="27"/>
      <c r="K133" s="24"/>
    </row>
    <row r="136" spans="1:11">
      <c r="A136" s="23">
        <v>3</v>
      </c>
      <c r="B136" s="23" t="s">
        <v>0</v>
      </c>
      <c r="C136" s="28" t="str">
        <f>IF('Navigation and Summary'!$B$11="", "", 'Navigation and Summary'!$B$11)</f>
        <v>Nur-2</v>
      </c>
      <c r="D136" s="28"/>
      <c r="E136" s="23" t="s">
        <v>37</v>
      </c>
      <c r="F136" s="24">
        <f>IF('Navigation and Summary'!$C$11="", "", 'Navigation and Summary'!$C$11)</f>
        <v>650</v>
      </c>
      <c r="G136" s="23" t="s">
        <v>34</v>
      </c>
      <c r="H136" s="24" t="str">
        <f>IF(C136="", "", 'Navigation and Summary'!$G$6)</f>
        <v>2025-26</v>
      </c>
    </row>
    <row r="137" spans="1:11">
      <c r="A137" s="35"/>
      <c r="B137" s="35" t="s">
        <v>32</v>
      </c>
      <c r="C137" s="35"/>
      <c r="D137" s="35"/>
      <c r="E137" s="35"/>
      <c r="F137" s="35"/>
      <c r="G137" s="35"/>
      <c r="H137" s="35"/>
      <c r="I137" s="23"/>
      <c r="J137" s="23"/>
      <c r="K137" s="23"/>
    </row>
    <row r="138" spans="1:11" ht="28.5">
      <c r="A138" s="35"/>
      <c r="B138" s="25" t="s">
        <v>1</v>
      </c>
      <c r="C138" s="25" t="s">
        <v>2</v>
      </c>
      <c r="D138" s="25" t="s">
        <v>745</v>
      </c>
      <c r="E138" s="25" t="s">
        <v>3</v>
      </c>
      <c r="F138" s="25" t="s">
        <v>4</v>
      </c>
      <c r="G138" s="25" t="s">
        <v>5</v>
      </c>
      <c r="H138" s="25" t="s">
        <v>6</v>
      </c>
      <c r="I138" s="25" t="s">
        <v>7</v>
      </c>
      <c r="J138" s="25" t="s">
        <v>8</v>
      </c>
      <c r="K138" s="25" t="s">
        <v>9</v>
      </c>
    </row>
    <row r="139" spans="1:11">
      <c r="A139" s="35"/>
      <c r="B139" s="24">
        <v>1</v>
      </c>
      <c r="C139" s="23" t="s">
        <v>199</v>
      </c>
      <c r="D139" s="23" t="s">
        <v>747</v>
      </c>
      <c r="E139" s="24">
        <v>200</v>
      </c>
      <c r="F139" s="24"/>
      <c r="G139" s="24"/>
      <c r="H139" s="24"/>
      <c r="I139" s="24"/>
      <c r="J139" s="24">
        <f>IF(SUM(E139:I139)=0, "", SUM(E139:I139))</f>
        <v>200</v>
      </c>
      <c r="K139" s="24">
        <f xml:space="preserve"> IFERROR(IF(($F$136-J139)=0, 0, ($F$136-J139)),$F$136)</f>
        <v>450</v>
      </c>
    </row>
    <row r="140" spans="1:11">
      <c r="A140" s="35"/>
      <c r="B140" s="24">
        <v>2</v>
      </c>
      <c r="C140" s="23" t="s">
        <v>183</v>
      </c>
      <c r="D140" s="23" t="s">
        <v>746</v>
      </c>
      <c r="E140" s="24"/>
      <c r="F140" s="24"/>
      <c r="G140" s="24"/>
      <c r="H140" s="24"/>
      <c r="I140" s="24"/>
      <c r="J140" s="24" t="str">
        <f t="shared" ref="J140:J197" si="5">IF(SUM(E140:I140)=0, "", SUM(E140:I140))</f>
        <v/>
      </c>
      <c r="K140" s="24">
        <f t="shared" ref="K140:K197" si="6" xml:space="preserve"> IFERROR(IF(($F$136-J140)=0, 0, ($F$136-J140)),$F$136)</f>
        <v>650</v>
      </c>
    </row>
    <row r="141" spans="1:11">
      <c r="A141" s="35"/>
      <c r="B141" s="24">
        <v>3</v>
      </c>
      <c r="C141" s="23" t="s">
        <v>660</v>
      </c>
      <c r="D141" s="23" t="s">
        <v>746</v>
      </c>
      <c r="E141" s="24">
        <v>300</v>
      </c>
      <c r="F141" s="24">
        <v>200</v>
      </c>
      <c r="G141" s="24"/>
      <c r="H141" s="24"/>
      <c r="I141" s="24"/>
      <c r="J141" s="24">
        <f t="shared" si="5"/>
        <v>500</v>
      </c>
      <c r="K141" s="24">
        <f t="shared" si="6"/>
        <v>150</v>
      </c>
    </row>
    <row r="142" spans="1:11">
      <c r="A142" s="35"/>
      <c r="B142" s="24">
        <v>4</v>
      </c>
      <c r="C142" s="23" t="s">
        <v>661</v>
      </c>
      <c r="D142" s="23" t="s">
        <v>747</v>
      </c>
      <c r="E142" s="24">
        <v>300</v>
      </c>
      <c r="F142" s="24">
        <v>200</v>
      </c>
      <c r="G142" s="24"/>
      <c r="H142" s="24"/>
      <c r="I142" s="24"/>
      <c r="J142" s="24">
        <f t="shared" si="5"/>
        <v>500</v>
      </c>
      <c r="K142" s="24">
        <f t="shared" si="6"/>
        <v>150</v>
      </c>
    </row>
    <row r="143" spans="1:11">
      <c r="A143" s="35"/>
      <c r="B143" s="24">
        <v>5</v>
      </c>
      <c r="C143" s="23" t="s">
        <v>115</v>
      </c>
      <c r="D143" s="23" t="s">
        <v>747</v>
      </c>
      <c r="E143" s="24">
        <v>650</v>
      </c>
      <c r="F143" s="24"/>
      <c r="G143" s="24"/>
      <c r="H143" s="24"/>
      <c r="I143" s="24"/>
      <c r="J143" s="24">
        <f t="shared" si="5"/>
        <v>650</v>
      </c>
      <c r="K143" s="24">
        <f t="shared" si="6"/>
        <v>0</v>
      </c>
    </row>
    <row r="144" spans="1:11">
      <c r="A144" s="35"/>
      <c r="B144" s="24">
        <v>6</v>
      </c>
      <c r="C144" s="23" t="s">
        <v>176</v>
      </c>
      <c r="D144" s="23" t="s">
        <v>746</v>
      </c>
      <c r="E144" s="24">
        <v>500</v>
      </c>
      <c r="F144" s="24"/>
      <c r="G144" s="24"/>
      <c r="H144" s="24"/>
      <c r="I144" s="24"/>
      <c r="J144" s="24">
        <f t="shared" si="5"/>
        <v>500</v>
      </c>
      <c r="K144" s="24">
        <f t="shared" si="6"/>
        <v>150</v>
      </c>
    </row>
    <row r="145" spans="1:11">
      <c r="A145" s="35"/>
      <c r="B145" s="24">
        <v>7</v>
      </c>
      <c r="C145" s="23" t="s">
        <v>688</v>
      </c>
      <c r="D145" s="23" t="s">
        <v>747</v>
      </c>
      <c r="E145" s="24">
        <v>400</v>
      </c>
      <c r="F145" s="24"/>
      <c r="G145" s="24"/>
      <c r="H145" s="24"/>
      <c r="I145" s="24"/>
      <c r="J145" s="24">
        <f t="shared" si="5"/>
        <v>400</v>
      </c>
      <c r="K145" s="24">
        <f t="shared" si="6"/>
        <v>250</v>
      </c>
    </row>
    <row r="146" spans="1:11">
      <c r="A146" s="35"/>
      <c r="B146" s="24">
        <v>8</v>
      </c>
      <c r="C146" s="23" t="s">
        <v>122</v>
      </c>
      <c r="D146" s="23" t="s">
        <v>747</v>
      </c>
      <c r="E146" s="24"/>
      <c r="F146" s="24"/>
      <c r="G146" s="24"/>
      <c r="H146" s="24"/>
      <c r="I146" s="24"/>
      <c r="J146" s="24" t="str">
        <f t="shared" si="5"/>
        <v/>
      </c>
      <c r="K146" s="24">
        <f t="shared" si="6"/>
        <v>650</v>
      </c>
    </row>
    <row r="147" spans="1:11">
      <c r="A147" s="35"/>
      <c r="B147" s="24">
        <v>9</v>
      </c>
      <c r="C147" s="23" t="s">
        <v>200</v>
      </c>
      <c r="D147" s="23" t="s">
        <v>747</v>
      </c>
      <c r="E147" s="24">
        <v>300</v>
      </c>
      <c r="F147" s="24">
        <v>350</v>
      </c>
      <c r="G147" s="24"/>
      <c r="H147" s="24"/>
      <c r="I147" s="24"/>
      <c r="J147" s="24">
        <f t="shared" si="5"/>
        <v>650</v>
      </c>
      <c r="K147" s="24">
        <f t="shared" si="6"/>
        <v>0</v>
      </c>
    </row>
    <row r="148" spans="1:11">
      <c r="A148" s="35"/>
      <c r="B148" s="24">
        <v>10</v>
      </c>
      <c r="C148" s="23" t="s">
        <v>663</v>
      </c>
      <c r="D148" s="23" t="s">
        <v>747</v>
      </c>
      <c r="E148" s="24"/>
      <c r="F148" s="24"/>
      <c r="G148" s="24"/>
      <c r="H148" s="24"/>
      <c r="I148" s="24"/>
      <c r="J148" s="24" t="str">
        <f t="shared" si="5"/>
        <v/>
      </c>
      <c r="K148" s="24">
        <f t="shared" si="6"/>
        <v>650</v>
      </c>
    </row>
    <row r="149" spans="1:11">
      <c r="A149" s="35"/>
      <c r="B149" s="24">
        <v>11</v>
      </c>
      <c r="C149" s="23" t="s">
        <v>179</v>
      </c>
      <c r="D149" s="23" t="s">
        <v>747</v>
      </c>
      <c r="E149" s="24">
        <v>150</v>
      </c>
      <c r="F149" s="24"/>
      <c r="G149" s="24"/>
      <c r="H149" s="24"/>
      <c r="I149" s="24"/>
      <c r="J149" s="24">
        <f t="shared" si="5"/>
        <v>150</v>
      </c>
      <c r="K149" s="24">
        <f t="shared" si="6"/>
        <v>500</v>
      </c>
    </row>
    <row r="150" spans="1:11">
      <c r="A150" s="35"/>
      <c r="B150" s="24">
        <v>12</v>
      </c>
      <c r="C150" s="23" t="s">
        <v>116</v>
      </c>
      <c r="D150" s="23" t="s">
        <v>747</v>
      </c>
      <c r="E150" s="24">
        <v>650</v>
      </c>
      <c r="F150" s="24"/>
      <c r="G150" s="24"/>
      <c r="H150" s="24"/>
      <c r="I150" s="24"/>
      <c r="J150" s="24">
        <f t="shared" si="5"/>
        <v>650</v>
      </c>
      <c r="K150" s="24">
        <f t="shared" si="6"/>
        <v>0</v>
      </c>
    </row>
    <row r="151" spans="1:11">
      <c r="A151" s="35"/>
      <c r="B151" s="24">
        <v>13</v>
      </c>
      <c r="C151" s="23" t="s">
        <v>123</v>
      </c>
      <c r="D151" s="23" t="s">
        <v>746</v>
      </c>
      <c r="E151" s="24">
        <v>650</v>
      </c>
      <c r="F151" s="24"/>
      <c r="G151" s="24"/>
      <c r="H151" s="24"/>
      <c r="I151" s="24"/>
      <c r="J151" s="24">
        <f t="shared" si="5"/>
        <v>650</v>
      </c>
      <c r="K151" s="24">
        <f t="shared" si="6"/>
        <v>0</v>
      </c>
    </row>
    <row r="152" spans="1:11">
      <c r="A152" s="35"/>
      <c r="B152" s="24">
        <v>14</v>
      </c>
      <c r="C152" s="23" t="s">
        <v>117</v>
      </c>
      <c r="D152" s="23" t="s">
        <v>747</v>
      </c>
      <c r="E152" s="24">
        <v>450</v>
      </c>
      <c r="F152" s="24"/>
      <c r="G152" s="24"/>
      <c r="H152" s="24"/>
      <c r="I152" s="24"/>
      <c r="J152" s="24">
        <f t="shared" si="5"/>
        <v>450</v>
      </c>
      <c r="K152" s="24">
        <f t="shared" si="6"/>
        <v>200</v>
      </c>
    </row>
    <row r="153" spans="1:11">
      <c r="A153" s="35"/>
      <c r="B153" s="24">
        <v>15</v>
      </c>
      <c r="C153" s="23" t="s">
        <v>717</v>
      </c>
      <c r="D153" s="23" t="s">
        <v>746</v>
      </c>
      <c r="E153" s="24"/>
      <c r="F153" s="24"/>
      <c r="G153" s="24"/>
      <c r="H153" s="24"/>
      <c r="I153" s="24"/>
      <c r="J153" s="24" t="str">
        <f t="shared" si="5"/>
        <v/>
      </c>
      <c r="K153" s="24">
        <f t="shared" si="6"/>
        <v>650</v>
      </c>
    </row>
    <row r="154" spans="1:11">
      <c r="A154" s="35"/>
      <c r="B154" s="24">
        <v>16</v>
      </c>
      <c r="C154" s="23" t="s">
        <v>120</v>
      </c>
      <c r="D154" s="23" t="s">
        <v>747</v>
      </c>
      <c r="E154" s="24">
        <v>400</v>
      </c>
      <c r="F154" s="24">
        <v>250</v>
      </c>
      <c r="G154" s="24"/>
      <c r="H154" s="24"/>
      <c r="I154" s="24"/>
      <c r="J154" s="24">
        <f t="shared" si="5"/>
        <v>650</v>
      </c>
      <c r="K154" s="24">
        <f t="shared" si="6"/>
        <v>0</v>
      </c>
    </row>
    <row r="155" spans="1:11">
      <c r="A155" s="35"/>
      <c r="B155" s="24">
        <v>17</v>
      </c>
      <c r="C155" s="23" t="s">
        <v>127</v>
      </c>
      <c r="D155" s="23" t="s">
        <v>746</v>
      </c>
      <c r="E155" s="24">
        <v>90</v>
      </c>
      <c r="F155" s="24">
        <v>200</v>
      </c>
      <c r="G155" s="24"/>
      <c r="H155" s="24"/>
      <c r="I155" s="24"/>
      <c r="J155" s="24">
        <f t="shared" si="5"/>
        <v>290</v>
      </c>
      <c r="K155" s="24">
        <f t="shared" si="6"/>
        <v>360</v>
      </c>
    </row>
    <row r="156" spans="1:11">
      <c r="A156" s="35"/>
      <c r="B156" s="24">
        <v>18</v>
      </c>
      <c r="C156" s="23" t="s">
        <v>718</v>
      </c>
      <c r="D156" s="23" t="s">
        <v>746</v>
      </c>
      <c r="E156" s="24"/>
      <c r="F156" s="24"/>
      <c r="G156" s="24"/>
      <c r="H156" s="24"/>
      <c r="I156" s="24"/>
      <c r="J156" s="24" t="str">
        <f t="shared" si="5"/>
        <v/>
      </c>
      <c r="K156" s="24">
        <f t="shared" si="6"/>
        <v>650</v>
      </c>
    </row>
    <row r="157" spans="1:11">
      <c r="A157" s="35"/>
      <c r="B157" s="24">
        <v>19</v>
      </c>
      <c r="C157" s="23" t="s">
        <v>121</v>
      </c>
      <c r="D157" s="23" t="s">
        <v>747</v>
      </c>
      <c r="E157" s="24">
        <v>500</v>
      </c>
      <c r="F157" s="24"/>
      <c r="G157" s="24"/>
      <c r="H157" s="24"/>
      <c r="I157" s="24"/>
      <c r="J157" s="24">
        <f t="shared" si="5"/>
        <v>500</v>
      </c>
      <c r="K157" s="24">
        <f t="shared" si="6"/>
        <v>150</v>
      </c>
    </row>
    <row r="158" spans="1:11">
      <c r="A158" s="35"/>
      <c r="B158" s="24">
        <v>20</v>
      </c>
      <c r="C158" s="23" t="s">
        <v>125</v>
      </c>
      <c r="D158" s="23" t="s">
        <v>746</v>
      </c>
      <c r="E158" s="24">
        <v>300</v>
      </c>
      <c r="F158" s="24"/>
      <c r="G158" s="24"/>
      <c r="H158" s="24"/>
      <c r="I158" s="24"/>
      <c r="J158" s="24">
        <f t="shared" si="5"/>
        <v>300</v>
      </c>
      <c r="K158" s="24">
        <f t="shared" si="6"/>
        <v>350</v>
      </c>
    </row>
    <row r="159" spans="1:11">
      <c r="A159" s="35"/>
      <c r="B159" s="24">
        <v>21</v>
      </c>
      <c r="C159" s="23" t="s">
        <v>662</v>
      </c>
      <c r="D159" s="23" t="s">
        <v>746</v>
      </c>
      <c r="E159" s="24">
        <v>50</v>
      </c>
      <c r="F159" s="24"/>
      <c r="G159" s="24"/>
      <c r="H159" s="24"/>
      <c r="I159" s="24"/>
      <c r="J159" s="24">
        <f t="shared" si="5"/>
        <v>50</v>
      </c>
      <c r="K159" s="24">
        <f t="shared" si="6"/>
        <v>600</v>
      </c>
    </row>
    <row r="160" spans="1:11">
      <c r="A160" s="35"/>
      <c r="B160" s="24">
        <v>22</v>
      </c>
      <c r="C160" s="23" t="s">
        <v>126</v>
      </c>
      <c r="D160" s="23" t="s">
        <v>746</v>
      </c>
      <c r="E160" s="24">
        <v>500</v>
      </c>
      <c r="F160" s="24">
        <v>150</v>
      </c>
      <c r="G160" s="24"/>
      <c r="H160" s="24"/>
      <c r="I160" s="24"/>
      <c r="J160" s="24">
        <f t="shared" si="5"/>
        <v>650</v>
      </c>
      <c r="K160" s="24">
        <f t="shared" si="6"/>
        <v>0</v>
      </c>
    </row>
    <row r="161" spans="1:11">
      <c r="A161" s="35"/>
      <c r="B161" s="24">
        <v>23</v>
      </c>
      <c r="C161" s="23" t="s">
        <v>652</v>
      </c>
      <c r="D161" s="23" t="s">
        <v>746</v>
      </c>
      <c r="E161" s="24">
        <v>650</v>
      </c>
      <c r="F161" s="24"/>
      <c r="G161" s="24"/>
      <c r="H161" s="24"/>
      <c r="I161" s="24"/>
      <c r="J161" s="24">
        <f t="shared" si="5"/>
        <v>650</v>
      </c>
      <c r="K161" s="24">
        <f t="shared" si="6"/>
        <v>0</v>
      </c>
    </row>
    <row r="162" spans="1:11">
      <c r="A162" s="35"/>
      <c r="B162" s="24">
        <v>24</v>
      </c>
      <c r="C162" s="23" t="s">
        <v>178</v>
      </c>
      <c r="D162" s="23" t="s">
        <v>746</v>
      </c>
      <c r="E162" s="24">
        <v>650</v>
      </c>
      <c r="F162" s="24"/>
      <c r="G162" s="24"/>
      <c r="H162" s="24"/>
      <c r="I162" s="24"/>
      <c r="J162" s="24">
        <f t="shared" si="5"/>
        <v>650</v>
      </c>
      <c r="K162" s="24">
        <f t="shared" si="6"/>
        <v>0</v>
      </c>
    </row>
    <row r="163" spans="1:11">
      <c r="A163" s="35"/>
      <c r="B163" s="24">
        <v>25</v>
      </c>
      <c r="C163" s="23" t="s">
        <v>187</v>
      </c>
      <c r="D163" s="23" t="s">
        <v>747</v>
      </c>
      <c r="E163" s="24">
        <v>400</v>
      </c>
      <c r="F163" s="24">
        <v>250</v>
      </c>
      <c r="G163" s="24"/>
      <c r="H163" s="24"/>
      <c r="I163" s="24"/>
      <c r="J163" s="24">
        <f t="shared" si="5"/>
        <v>650</v>
      </c>
      <c r="K163" s="24">
        <f t="shared" si="6"/>
        <v>0</v>
      </c>
    </row>
    <row r="164" spans="1:11">
      <c r="A164" s="35"/>
      <c r="B164" s="24">
        <v>26</v>
      </c>
      <c r="C164" s="23" t="s">
        <v>118</v>
      </c>
      <c r="D164" s="23" t="s">
        <v>747</v>
      </c>
      <c r="E164" s="24"/>
      <c r="F164" s="24"/>
      <c r="G164" s="24"/>
      <c r="H164" s="24"/>
      <c r="I164" s="24"/>
      <c r="J164" s="24" t="str">
        <f t="shared" si="5"/>
        <v/>
      </c>
      <c r="K164" s="24">
        <f t="shared" si="6"/>
        <v>650</v>
      </c>
    </row>
    <row r="165" spans="1:11">
      <c r="A165" s="35"/>
      <c r="B165" s="24">
        <v>27</v>
      </c>
      <c r="C165" s="23" t="s">
        <v>202</v>
      </c>
      <c r="D165" s="23" t="s">
        <v>746</v>
      </c>
      <c r="E165" s="24">
        <v>650</v>
      </c>
      <c r="F165" s="24"/>
      <c r="G165" s="24"/>
      <c r="H165" s="24"/>
      <c r="I165" s="24"/>
      <c r="J165" s="24">
        <f t="shared" si="5"/>
        <v>650</v>
      </c>
      <c r="K165" s="24">
        <f t="shared" si="6"/>
        <v>0</v>
      </c>
    </row>
    <row r="166" spans="1:11">
      <c r="A166" s="35"/>
      <c r="B166" s="24">
        <v>28</v>
      </c>
      <c r="C166" s="23" t="s">
        <v>119</v>
      </c>
      <c r="D166" s="23" t="s">
        <v>747</v>
      </c>
      <c r="E166" s="24">
        <v>150</v>
      </c>
      <c r="F166" s="24"/>
      <c r="G166" s="24"/>
      <c r="H166" s="24"/>
      <c r="I166" s="24"/>
      <c r="J166" s="24">
        <f t="shared" si="5"/>
        <v>150</v>
      </c>
      <c r="K166" s="24">
        <f t="shared" si="6"/>
        <v>500</v>
      </c>
    </row>
    <row r="167" spans="1:11">
      <c r="A167" s="35"/>
      <c r="B167" s="24">
        <v>29</v>
      </c>
      <c r="C167" s="23" t="s">
        <v>124</v>
      </c>
      <c r="D167" s="23" t="s">
        <v>746</v>
      </c>
      <c r="E167" s="24">
        <v>650</v>
      </c>
      <c r="F167" s="24"/>
      <c r="G167" s="24"/>
      <c r="H167" s="24"/>
      <c r="I167" s="24"/>
      <c r="J167" s="24">
        <f t="shared" si="5"/>
        <v>650</v>
      </c>
      <c r="K167" s="24">
        <f t="shared" si="6"/>
        <v>0</v>
      </c>
    </row>
    <row r="168" spans="1:11">
      <c r="A168" s="35"/>
      <c r="B168" s="24">
        <v>30</v>
      </c>
      <c r="C168" s="23" t="s">
        <v>740</v>
      </c>
      <c r="D168" s="23" t="s">
        <v>746</v>
      </c>
      <c r="E168" s="24">
        <v>650</v>
      </c>
      <c r="F168" s="24"/>
      <c r="G168" s="24"/>
      <c r="H168" s="24"/>
      <c r="I168" s="24"/>
      <c r="J168" s="24">
        <f t="shared" si="5"/>
        <v>650</v>
      </c>
      <c r="K168" s="24">
        <f t="shared" si="6"/>
        <v>0</v>
      </c>
    </row>
    <row r="169" spans="1:11">
      <c r="A169" s="35"/>
      <c r="B169" s="24">
        <v>31</v>
      </c>
      <c r="C169" s="23"/>
      <c r="D169" s="23"/>
      <c r="E169" s="24"/>
      <c r="F169" s="24"/>
      <c r="G169" s="24"/>
      <c r="H169" s="24"/>
      <c r="I169" s="24"/>
      <c r="J169" s="24" t="str">
        <f t="shared" si="5"/>
        <v/>
      </c>
      <c r="K169" s="24">
        <f t="shared" si="6"/>
        <v>650</v>
      </c>
    </row>
    <row r="170" spans="1:11">
      <c r="A170" s="35"/>
      <c r="B170" s="24">
        <v>32</v>
      </c>
      <c r="C170" s="23"/>
      <c r="D170" s="23"/>
      <c r="E170" s="24"/>
      <c r="F170" s="24"/>
      <c r="G170" s="24"/>
      <c r="H170" s="24"/>
      <c r="I170" s="24"/>
      <c r="J170" s="24" t="str">
        <f t="shared" si="5"/>
        <v/>
      </c>
      <c r="K170" s="24">
        <f t="shared" si="6"/>
        <v>650</v>
      </c>
    </row>
    <row r="171" spans="1:11">
      <c r="A171" s="35"/>
      <c r="B171" s="24">
        <v>33</v>
      </c>
      <c r="C171" s="23"/>
      <c r="D171" s="23"/>
      <c r="E171" s="24"/>
      <c r="F171" s="24"/>
      <c r="G171" s="24"/>
      <c r="H171" s="24"/>
      <c r="I171" s="24"/>
      <c r="J171" s="24" t="str">
        <f t="shared" si="5"/>
        <v/>
      </c>
      <c r="K171" s="24">
        <f t="shared" si="6"/>
        <v>650</v>
      </c>
    </row>
    <row r="172" spans="1:11">
      <c r="A172" s="35"/>
      <c r="B172" s="24">
        <v>34</v>
      </c>
      <c r="C172" s="23"/>
      <c r="D172" s="23"/>
      <c r="E172" s="24"/>
      <c r="F172" s="24"/>
      <c r="G172" s="24"/>
      <c r="H172" s="24"/>
      <c r="I172" s="24"/>
      <c r="J172" s="24" t="str">
        <f t="shared" si="5"/>
        <v/>
      </c>
      <c r="K172" s="24">
        <f t="shared" si="6"/>
        <v>650</v>
      </c>
    </row>
    <row r="173" spans="1:11">
      <c r="A173" s="35"/>
      <c r="B173" s="24">
        <v>35</v>
      </c>
      <c r="C173" s="23"/>
      <c r="D173" s="23"/>
      <c r="E173" s="24"/>
      <c r="F173" s="24"/>
      <c r="G173" s="24"/>
      <c r="H173" s="24"/>
      <c r="I173" s="24"/>
      <c r="J173" s="24" t="str">
        <f t="shared" si="5"/>
        <v/>
      </c>
      <c r="K173" s="24">
        <f t="shared" si="6"/>
        <v>650</v>
      </c>
    </row>
    <row r="174" spans="1:11">
      <c r="A174" s="35"/>
      <c r="B174" s="24">
        <v>36</v>
      </c>
      <c r="C174" s="23"/>
      <c r="D174" s="23"/>
      <c r="E174" s="24"/>
      <c r="F174" s="24"/>
      <c r="G174" s="24"/>
      <c r="H174" s="24"/>
      <c r="I174" s="24"/>
      <c r="J174" s="24" t="str">
        <f t="shared" si="5"/>
        <v/>
      </c>
      <c r="K174" s="24">
        <f t="shared" si="6"/>
        <v>650</v>
      </c>
    </row>
    <row r="175" spans="1:11">
      <c r="A175" s="35"/>
      <c r="B175" s="24">
        <v>37</v>
      </c>
      <c r="C175" s="23"/>
      <c r="D175" s="23"/>
      <c r="E175" s="24"/>
      <c r="F175" s="24"/>
      <c r="G175" s="24"/>
      <c r="H175" s="24"/>
      <c r="I175" s="24"/>
      <c r="J175" s="24" t="str">
        <f t="shared" si="5"/>
        <v/>
      </c>
      <c r="K175" s="24">
        <f t="shared" si="6"/>
        <v>650</v>
      </c>
    </row>
    <row r="176" spans="1:11">
      <c r="A176" s="35"/>
      <c r="B176" s="24">
        <v>38</v>
      </c>
      <c r="C176" s="23"/>
      <c r="D176" s="23"/>
      <c r="E176" s="24"/>
      <c r="F176" s="24"/>
      <c r="G176" s="24"/>
      <c r="H176" s="24"/>
      <c r="I176" s="24"/>
      <c r="J176" s="24" t="str">
        <f t="shared" si="5"/>
        <v/>
      </c>
      <c r="K176" s="24">
        <f t="shared" si="6"/>
        <v>650</v>
      </c>
    </row>
    <row r="177" spans="1:11">
      <c r="A177" s="35"/>
      <c r="B177" s="24">
        <v>39</v>
      </c>
      <c r="C177" s="23"/>
      <c r="D177" s="23"/>
      <c r="E177" s="24"/>
      <c r="F177" s="24"/>
      <c r="G177" s="24"/>
      <c r="H177" s="24"/>
      <c r="I177" s="24"/>
      <c r="J177" s="24" t="str">
        <f t="shared" si="5"/>
        <v/>
      </c>
      <c r="K177" s="24">
        <f t="shared" si="6"/>
        <v>650</v>
      </c>
    </row>
    <row r="178" spans="1:11">
      <c r="A178" s="35"/>
      <c r="B178" s="24">
        <v>40</v>
      </c>
      <c r="C178" s="23"/>
      <c r="D178" s="23"/>
      <c r="E178" s="24"/>
      <c r="F178" s="24"/>
      <c r="G178" s="24"/>
      <c r="H178" s="24"/>
      <c r="I178" s="24"/>
      <c r="J178" s="24" t="str">
        <f t="shared" si="5"/>
        <v/>
      </c>
      <c r="K178" s="24">
        <f t="shared" si="6"/>
        <v>650</v>
      </c>
    </row>
    <row r="179" spans="1:11">
      <c r="A179" s="35"/>
      <c r="B179" s="24">
        <v>41</v>
      </c>
      <c r="C179" s="23"/>
      <c r="D179" s="23"/>
      <c r="E179" s="24"/>
      <c r="F179" s="24"/>
      <c r="G179" s="24"/>
      <c r="H179" s="24"/>
      <c r="I179" s="24"/>
      <c r="J179" s="24" t="str">
        <f t="shared" si="5"/>
        <v/>
      </c>
      <c r="K179" s="24">
        <f t="shared" si="6"/>
        <v>650</v>
      </c>
    </row>
    <row r="180" spans="1:11">
      <c r="A180" s="35"/>
      <c r="B180" s="24">
        <v>42</v>
      </c>
      <c r="C180" s="23"/>
      <c r="D180" s="23"/>
      <c r="E180" s="24"/>
      <c r="F180" s="24"/>
      <c r="G180" s="24"/>
      <c r="H180" s="24"/>
      <c r="I180" s="24"/>
      <c r="J180" s="24" t="str">
        <f t="shared" si="5"/>
        <v/>
      </c>
      <c r="K180" s="24">
        <f t="shared" si="6"/>
        <v>650</v>
      </c>
    </row>
    <row r="181" spans="1:11">
      <c r="A181" s="35"/>
      <c r="B181" s="24">
        <v>43</v>
      </c>
      <c r="C181" s="23"/>
      <c r="D181" s="23"/>
      <c r="E181" s="24"/>
      <c r="F181" s="24"/>
      <c r="G181" s="24"/>
      <c r="H181" s="24"/>
      <c r="I181" s="24"/>
      <c r="J181" s="24" t="str">
        <f t="shared" si="5"/>
        <v/>
      </c>
      <c r="K181" s="24">
        <f t="shared" si="6"/>
        <v>650</v>
      </c>
    </row>
    <row r="182" spans="1:11">
      <c r="A182" s="35"/>
      <c r="B182" s="24">
        <v>44</v>
      </c>
      <c r="C182" s="23"/>
      <c r="D182" s="23"/>
      <c r="E182" s="24"/>
      <c r="F182" s="24"/>
      <c r="G182" s="24"/>
      <c r="H182" s="24"/>
      <c r="I182" s="24"/>
      <c r="J182" s="24" t="str">
        <f t="shared" si="5"/>
        <v/>
      </c>
      <c r="K182" s="24">
        <f t="shared" si="6"/>
        <v>650</v>
      </c>
    </row>
    <row r="183" spans="1:11">
      <c r="A183" s="35"/>
      <c r="B183" s="24">
        <v>45</v>
      </c>
      <c r="C183" s="23"/>
      <c r="D183" s="23"/>
      <c r="E183" s="24"/>
      <c r="F183" s="24"/>
      <c r="G183" s="24"/>
      <c r="H183" s="24"/>
      <c r="I183" s="24"/>
      <c r="J183" s="24" t="str">
        <f t="shared" si="5"/>
        <v/>
      </c>
      <c r="K183" s="24">
        <f t="shared" si="6"/>
        <v>650</v>
      </c>
    </row>
    <row r="184" spans="1:11">
      <c r="A184" s="35"/>
      <c r="B184" s="24">
        <v>46</v>
      </c>
      <c r="C184" s="23"/>
      <c r="D184" s="23"/>
      <c r="E184" s="24"/>
      <c r="F184" s="24"/>
      <c r="G184" s="24"/>
      <c r="H184" s="24"/>
      <c r="I184" s="24"/>
      <c r="J184" s="24" t="str">
        <f t="shared" si="5"/>
        <v/>
      </c>
      <c r="K184" s="24">
        <f t="shared" si="6"/>
        <v>650</v>
      </c>
    </row>
    <row r="185" spans="1:11">
      <c r="A185" s="35"/>
      <c r="B185" s="24">
        <v>47</v>
      </c>
      <c r="C185" s="23"/>
      <c r="D185" s="23"/>
      <c r="E185" s="24"/>
      <c r="F185" s="24"/>
      <c r="G185" s="24"/>
      <c r="H185" s="24"/>
      <c r="I185" s="24"/>
      <c r="J185" s="24" t="str">
        <f t="shared" si="5"/>
        <v/>
      </c>
      <c r="K185" s="24">
        <f t="shared" si="6"/>
        <v>650</v>
      </c>
    </row>
    <row r="186" spans="1:11">
      <c r="A186" s="35"/>
      <c r="B186" s="24">
        <v>48</v>
      </c>
      <c r="C186" s="23"/>
      <c r="D186" s="23"/>
      <c r="E186" s="24"/>
      <c r="F186" s="24"/>
      <c r="G186" s="24"/>
      <c r="H186" s="24"/>
      <c r="I186" s="24"/>
      <c r="J186" s="24" t="str">
        <f t="shared" si="5"/>
        <v/>
      </c>
      <c r="K186" s="24">
        <f t="shared" si="6"/>
        <v>650</v>
      </c>
    </row>
    <row r="187" spans="1:11">
      <c r="A187" s="35"/>
      <c r="B187" s="24">
        <v>49</v>
      </c>
      <c r="C187" s="23"/>
      <c r="D187" s="23"/>
      <c r="E187" s="24"/>
      <c r="F187" s="24"/>
      <c r="G187" s="24"/>
      <c r="H187" s="24"/>
      <c r="I187" s="24"/>
      <c r="J187" s="24" t="str">
        <f t="shared" si="5"/>
        <v/>
      </c>
      <c r="K187" s="24">
        <f t="shared" si="6"/>
        <v>650</v>
      </c>
    </row>
    <row r="188" spans="1:11">
      <c r="A188" s="35"/>
      <c r="B188" s="24">
        <v>50</v>
      </c>
      <c r="C188" s="23"/>
      <c r="D188" s="23"/>
      <c r="E188" s="24"/>
      <c r="F188" s="24"/>
      <c r="G188" s="24"/>
      <c r="H188" s="24"/>
      <c r="I188" s="24"/>
      <c r="J188" s="24" t="str">
        <f t="shared" si="5"/>
        <v/>
      </c>
      <c r="K188" s="24">
        <f t="shared" si="6"/>
        <v>650</v>
      </c>
    </row>
    <row r="189" spans="1:11">
      <c r="A189" s="35"/>
      <c r="B189" s="24">
        <v>51</v>
      </c>
      <c r="C189" s="23"/>
      <c r="D189" s="23"/>
      <c r="E189" s="24"/>
      <c r="F189" s="24"/>
      <c r="G189" s="24"/>
      <c r="H189" s="24"/>
      <c r="I189" s="24"/>
      <c r="J189" s="24" t="str">
        <f t="shared" si="5"/>
        <v/>
      </c>
      <c r="K189" s="24">
        <f t="shared" si="6"/>
        <v>650</v>
      </c>
    </row>
    <row r="190" spans="1:11">
      <c r="A190" s="35"/>
      <c r="B190" s="24">
        <v>52</v>
      </c>
      <c r="C190" s="23"/>
      <c r="D190" s="23"/>
      <c r="E190" s="24"/>
      <c r="F190" s="24"/>
      <c r="G190" s="24"/>
      <c r="H190" s="24"/>
      <c r="I190" s="24"/>
      <c r="J190" s="24" t="str">
        <f t="shared" si="5"/>
        <v/>
      </c>
      <c r="K190" s="24">
        <f t="shared" si="6"/>
        <v>650</v>
      </c>
    </row>
    <row r="191" spans="1:11">
      <c r="A191" s="35"/>
      <c r="B191" s="24">
        <v>53</v>
      </c>
      <c r="C191" s="23"/>
      <c r="D191" s="23"/>
      <c r="E191" s="24"/>
      <c r="F191" s="24"/>
      <c r="G191" s="24"/>
      <c r="H191" s="24"/>
      <c r="I191" s="24"/>
      <c r="J191" s="24" t="str">
        <f t="shared" si="5"/>
        <v/>
      </c>
      <c r="K191" s="24">
        <f t="shared" si="6"/>
        <v>650</v>
      </c>
    </row>
    <row r="192" spans="1:11">
      <c r="A192" s="35"/>
      <c r="B192" s="24">
        <v>54</v>
      </c>
      <c r="C192" s="23"/>
      <c r="D192" s="23"/>
      <c r="E192" s="24"/>
      <c r="F192" s="24"/>
      <c r="G192" s="24"/>
      <c r="H192" s="24"/>
      <c r="I192" s="24"/>
      <c r="J192" s="24" t="str">
        <f t="shared" si="5"/>
        <v/>
      </c>
      <c r="K192" s="24">
        <f t="shared" si="6"/>
        <v>650</v>
      </c>
    </row>
    <row r="193" spans="1:11">
      <c r="A193" s="35"/>
      <c r="B193" s="24">
        <v>55</v>
      </c>
      <c r="C193" s="23"/>
      <c r="D193" s="23"/>
      <c r="E193" s="24"/>
      <c r="F193" s="24"/>
      <c r="G193" s="24"/>
      <c r="H193" s="24"/>
      <c r="I193" s="24"/>
      <c r="J193" s="24" t="str">
        <f t="shared" si="5"/>
        <v/>
      </c>
      <c r="K193" s="24">
        <f t="shared" si="6"/>
        <v>650</v>
      </c>
    </row>
    <row r="194" spans="1:11">
      <c r="A194" s="35"/>
      <c r="B194" s="24">
        <v>56</v>
      </c>
      <c r="C194" s="23"/>
      <c r="D194" s="23"/>
      <c r="E194" s="24"/>
      <c r="F194" s="24"/>
      <c r="G194" s="24"/>
      <c r="H194" s="24"/>
      <c r="I194" s="24"/>
      <c r="J194" s="24" t="str">
        <f t="shared" si="5"/>
        <v/>
      </c>
      <c r="K194" s="24">
        <f t="shared" si="6"/>
        <v>650</v>
      </c>
    </row>
    <row r="195" spans="1:11">
      <c r="A195" s="35"/>
      <c r="B195" s="24">
        <v>57</v>
      </c>
      <c r="C195" s="23"/>
      <c r="D195" s="23"/>
      <c r="E195" s="24"/>
      <c r="F195" s="24"/>
      <c r="G195" s="24"/>
      <c r="H195" s="24"/>
      <c r="I195" s="24"/>
      <c r="J195" s="24" t="str">
        <f t="shared" si="5"/>
        <v/>
      </c>
      <c r="K195" s="24">
        <f t="shared" si="6"/>
        <v>650</v>
      </c>
    </row>
    <row r="196" spans="1:11">
      <c r="A196" s="35"/>
      <c r="B196" s="24">
        <v>58</v>
      </c>
      <c r="C196" s="23"/>
      <c r="D196" s="23"/>
      <c r="E196" s="24"/>
      <c r="F196" s="24"/>
      <c r="G196" s="24"/>
      <c r="H196" s="24"/>
      <c r="I196" s="24"/>
      <c r="J196" s="24" t="str">
        <f t="shared" si="5"/>
        <v/>
      </c>
      <c r="K196" s="24">
        <f t="shared" si="6"/>
        <v>650</v>
      </c>
    </row>
    <row r="197" spans="1:11">
      <c r="A197" s="35"/>
      <c r="B197" s="24">
        <v>59</v>
      </c>
      <c r="C197" s="23"/>
      <c r="D197" s="23"/>
      <c r="E197" s="24"/>
      <c r="F197" s="24"/>
      <c r="G197" s="24"/>
      <c r="H197" s="24"/>
      <c r="I197" s="24"/>
      <c r="J197" s="24" t="str">
        <f t="shared" si="5"/>
        <v/>
      </c>
      <c r="K197" s="24">
        <f t="shared" si="6"/>
        <v>650</v>
      </c>
    </row>
    <row r="198" spans="1:11">
      <c r="A198" s="35"/>
      <c r="B198" s="24">
        <v>60</v>
      </c>
      <c r="C198" s="23"/>
      <c r="D198" s="23"/>
      <c r="E198" s="24"/>
      <c r="F198" s="24"/>
      <c r="G198" s="24"/>
      <c r="H198" s="24"/>
      <c r="I198" s="24"/>
      <c r="J198" s="24" t="str">
        <f>IF(SUM(E198:I198)=0, "", SUM(E198:I198))</f>
        <v/>
      </c>
      <c r="K198" s="24">
        <f xml:space="preserve"> IFERROR(IF(($F$136-J198)=0, 0, ($F$136-J198)),$F$136)</f>
        <v>650</v>
      </c>
    </row>
    <row r="199" spans="1:11">
      <c r="A199" s="35"/>
      <c r="B199" s="34"/>
      <c r="C199" s="34"/>
      <c r="D199" s="34"/>
      <c r="E199" s="34"/>
      <c r="F199" s="34"/>
      <c r="G199" s="34"/>
      <c r="H199" s="34"/>
      <c r="I199" s="33" t="s">
        <v>31</v>
      </c>
      <c r="J199" s="33"/>
      <c r="K199" s="24">
        <f>SUM(K139:K198)</f>
        <v>27210</v>
      </c>
    </row>
    <row r="200" spans="1:11">
      <c r="I200" s="27"/>
      <c r="J200" s="27"/>
      <c r="K200" s="24"/>
    </row>
    <row r="201" spans="1:11">
      <c r="I201" s="27"/>
      <c r="J201" s="27"/>
      <c r="K201" s="24"/>
    </row>
    <row r="203" spans="1:11">
      <c r="A203" s="23">
        <v>4</v>
      </c>
      <c r="B203" s="23" t="s">
        <v>0</v>
      </c>
      <c r="C203" s="28" t="str">
        <f>IF('Navigation and Summary'!$B$12="", "", 'Navigation and Summary'!$B$12)</f>
        <v>KG-1</v>
      </c>
      <c r="D203" s="28"/>
      <c r="E203" s="23" t="s">
        <v>37</v>
      </c>
      <c r="F203" s="24">
        <f>IF('Navigation and Summary'!$C$12="", "", 'Navigation and Summary'!$C$12)</f>
        <v>650</v>
      </c>
      <c r="G203" s="23" t="s">
        <v>34</v>
      </c>
      <c r="H203" s="24" t="str">
        <f>IF(C203="", "", 'Navigation and Summary'!$G$6)</f>
        <v>2025-26</v>
      </c>
    </row>
    <row r="204" spans="1:11">
      <c r="A204" s="35"/>
      <c r="B204" s="35" t="s">
        <v>32</v>
      </c>
      <c r="C204" s="35"/>
      <c r="D204" s="35"/>
      <c r="E204" s="35"/>
      <c r="F204" s="35"/>
      <c r="G204" s="35"/>
      <c r="H204" s="35"/>
      <c r="I204" s="23"/>
      <c r="J204" s="23"/>
      <c r="K204" s="23"/>
    </row>
    <row r="205" spans="1:11" ht="28.5">
      <c r="A205" s="35"/>
      <c r="B205" s="25" t="s">
        <v>1</v>
      </c>
      <c r="C205" s="25" t="s">
        <v>2</v>
      </c>
      <c r="D205" s="25" t="s">
        <v>745</v>
      </c>
      <c r="E205" s="25" t="s">
        <v>3</v>
      </c>
      <c r="F205" s="25" t="s">
        <v>4</v>
      </c>
      <c r="G205" s="25" t="s">
        <v>5</v>
      </c>
      <c r="H205" s="25" t="s">
        <v>6</v>
      </c>
      <c r="I205" s="25" t="s">
        <v>7</v>
      </c>
      <c r="J205" s="25" t="s">
        <v>8</v>
      </c>
      <c r="K205" s="25" t="s">
        <v>9</v>
      </c>
    </row>
    <row r="206" spans="1:11">
      <c r="A206" s="35"/>
      <c r="B206" s="24">
        <v>1</v>
      </c>
      <c r="C206" s="23" t="s">
        <v>194</v>
      </c>
      <c r="D206" s="23" t="s">
        <v>746</v>
      </c>
      <c r="E206" s="24"/>
      <c r="F206" s="24"/>
      <c r="G206" s="24"/>
      <c r="H206" s="24"/>
      <c r="I206" s="24"/>
      <c r="J206" s="24" t="str">
        <f>IF(SUM(E206:I206)=0, "", SUM(E206:I206))</f>
        <v/>
      </c>
      <c r="K206" s="24">
        <f xml:space="preserve"> IFERROR(IF(($F$203-J206)=0, 0, ($F$203-J206)),$F$203)</f>
        <v>650</v>
      </c>
    </row>
    <row r="207" spans="1:11">
      <c r="A207" s="35"/>
      <c r="B207" s="24">
        <v>2</v>
      </c>
      <c r="C207" s="23" t="s">
        <v>137</v>
      </c>
      <c r="D207" s="23" t="s">
        <v>746</v>
      </c>
      <c r="E207" s="24">
        <v>100</v>
      </c>
      <c r="F207" s="24">
        <v>50</v>
      </c>
      <c r="G207" s="24">
        <v>50</v>
      </c>
      <c r="H207" s="24"/>
      <c r="I207" s="24"/>
      <c r="J207" s="24">
        <f t="shared" ref="J207:J265" si="7">IF(SUM(E207:I207)=0, "", SUM(E207:I207))</f>
        <v>200</v>
      </c>
      <c r="K207" s="24">
        <f t="shared" ref="K207:K265" si="8" xml:space="preserve"> IFERROR(IF(($F$203-J207)=0, 0, ($F$203-J207)),$F$203)</f>
        <v>450</v>
      </c>
    </row>
    <row r="208" spans="1:11">
      <c r="A208" s="35"/>
      <c r="B208" s="24">
        <v>3</v>
      </c>
      <c r="C208" s="23" t="s">
        <v>626</v>
      </c>
      <c r="D208" s="23" t="s">
        <v>747</v>
      </c>
      <c r="E208" s="24">
        <v>400</v>
      </c>
      <c r="F208" s="24"/>
      <c r="G208" s="24"/>
      <c r="H208" s="24"/>
      <c r="I208" s="24"/>
      <c r="J208" s="24">
        <f t="shared" si="7"/>
        <v>400</v>
      </c>
      <c r="K208" s="24">
        <f t="shared" si="8"/>
        <v>250</v>
      </c>
    </row>
    <row r="209" spans="1:11">
      <c r="A209" s="35"/>
      <c r="B209" s="24">
        <v>4</v>
      </c>
      <c r="C209" s="23" t="s">
        <v>188</v>
      </c>
      <c r="D209" s="23" t="s">
        <v>747</v>
      </c>
      <c r="E209" s="24">
        <v>500</v>
      </c>
      <c r="F209" s="24"/>
      <c r="G209" s="24"/>
      <c r="H209" s="24"/>
      <c r="I209" s="24"/>
      <c r="J209" s="24">
        <f t="shared" si="7"/>
        <v>500</v>
      </c>
      <c r="K209" s="24">
        <f t="shared" si="8"/>
        <v>150</v>
      </c>
    </row>
    <row r="210" spans="1:11">
      <c r="A210" s="35"/>
      <c r="B210" s="24">
        <v>5</v>
      </c>
      <c r="C210" s="23" t="s">
        <v>180</v>
      </c>
      <c r="D210" s="23" t="s">
        <v>746</v>
      </c>
      <c r="E210" s="24">
        <v>400</v>
      </c>
      <c r="F210" s="24"/>
      <c r="G210" s="24"/>
      <c r="H210" s="24"/>
      <c r="I210" s="24"/>
      <c r="J210" s="24">
        <f t="shared" si="7"/>
        <v>400</v>
      </c>
      <c r="K210" s="24">
        <f t="shared" si="8"/>
        <v>250</v>
      </c>
    </row>
    <row r="211" spans="1:11">
      <c r="A211" s="35"/>
      <c r="B211" s="24">
        <v>6</v>
      </c>
      <c r="C211" s="23" t="s">
        <v>138</v>
      </c>
      <c r="D211" s="23" t="s">
        <v>746</v>
      </c>
      <c r="E211" s="24">
        <v>650</v>
      </c>
      <c r="F211" s="24"/>
      <c r="G211" s="24"/>
      <c r="H211" s="24"/>
      <c r="I211" s="24"/>
      <c r="J211" s="24">
        <f t="shared" si="7"/>
        <v>650</v>
      </c>
      <c r="K211" s="24">
        <f t="shared" si="8"/>
        <v>0</v>
      </c>
    </row>
    <row r="212" spans="1:11">
      <c r="A212" s="35"/>
      <c r="B212" s="24">
        <v>7</v>
      </c>
      <c r="C212" s="23" t="s">
        <v>719</v>
      </c>
      <c r="D212" s="23" t="s">
        <v>746</v>
      </c>
      <c r="E212" s="24"/>
      <c r="F212" s="24"/>
      <c r="G212" s="24"/>
      <c r="H212" s="24"/>
      <c r="I212" s="24"/>
      <c r="J212" s="24" t="str">
        <f t="shared" si="7"/>
        <v/>
      </c>
      <c r="K212" s="24">
        <f t="shared" si="8"/>
        <v>650</v>
      </c>
    </row>
    <row r="213" spans="1:11">
      <c r="A213" s="35"/>
      <c r="B213" s="24">
        <v>8</v>
      </c>
      <c r="C213" s="23" t="s">
        <v>741</v>
      </c>
      <c r="D213" s="23" t="s">
        <v>747</v>
      </c>
      <c r="E213" s="24">
        <v>400</v>
      </c>
      <c r="F213" s="24"/>
      <c r="G213" s="24"/>
      <c r="H213" s="24"/>
      <c r="I213" s="24"/>
      <c r="J213" s="24">
        <f t="shared" si="7"/>
        <v>400</v>
      </c>
      <c r="K213" s="24">
        <f t="shared" si="8"/>
        <v>250</v>
      </c>
    </row>
    <row r="214" spans="1:11">
      <c r="A214" s="35"/>
      <c r="B214" s="24">
        <v>9</v>
      </c>
      <c r="C214" s="23" t="s">
        <v>128</v>
      </c>
      <c r="D214" s="23" t="s">
        <v>747</v>
      </c>
      <c r="E214" s="24">
        <v>500</v>
      </c>
      <c r="F214" s="24">
        <v>150</v>
      </c>
      <c r="G214" s="24"/>
      <c r="H214" s="24"/>
      <c r="I214" s="24"/>
      <c r="J214" s="24">
        <f t="shared" si="7"/>
        <v>650</v>
      </c>
      <c r="K214" s="24">
        <f t="shared" si="8"/>
        <v>0</v>
      </c>
    </row>
    <row r="215" spans="1:11">
      <c r="A215" s="35"/>
      <c r="B215" s="24">
        <v>10</v>
      </c>
      <c r="C215" s="23" t="s">
        <v>651</v>
      </c>
      <c r="D215" s="23" t="s">
        <v>747</v>
      </c>
      <c r="E215" s="24"/>
      <c r="F215" s="24"/>
      <c r="G215" s="24"/>
      <c r="H215" s="24"/>
      <c r="I215" s="24"/>
      <c r="J215" s="24" t="str">
        <f t="shared" si="7"/>
        <v/>
      </c>
      <c r="K215" s="24">
        <f t="shared" si="8"/>
        <v>650</v>
      </c>
    </row>
    <row r="216" spans="1:11">
      <c r="A216" s="35"/>
      <c r="B216" s="24">
        <v>11</v>
      </c>
      <c r="C216" s="23" t="s">
        <v>647</v>
      </c>
      <c r="D216" s="23" t="s">
        <v>746</v>
      </c>
      <c r="E216" s="24"/>
      <c r="F216" s="24"/>
      <c r="G216" s="24"/>
      <c r="H216" s="24"/>
      <c r="I216" s="24"/>
      <c r="J216" s="24" t="str">
        <f t="shared" si="7"/>
        <v/>
      </c>
      <c r="K216" s="24">
        <f t="shared" si="8"/>
        <v>650</v>
      </c>
    </row>
    <row r="217" spans="1:11">
      <c r="A217" s="35"/>
      <c r="B217" s="24">
        <v>12</v>
      </c>
      <c r="C217" s="23" t="s">
        <v>129</v>
      </c>
      <c r="D217" s="23" t="s">
        <v>747</v>
      </c>
      <c r="E217" s="24">
        <v>450</v>
      </c>
      <c r="F217" s="24"/>
      <c r="G217" s="24"/>
      <c r="H217" s="24"/>
      <c r="I217" s="24"/>
      <c r="J217" s="24">
        <f t="shared" si="7"/>
        <v>450</v>
      </c>
      <c r="K217" s="24">
        <f t="shared" si="8"/>
        <v>200</v>
      </c>
    </row>
    <row r="218" spans="1:11">
      <c r="A218" s="35"/>
      <c r="B218" s="24">
        <v>13</v>
      </c>
      <c r="C218" s="23" t="s">
        <v>739</v>
      </c>
      <c r="D218" s="23" t="s">
        <v>747</v>
      </c>
      <c r="E218" s="24">
        <v>650</v>
      </c>
      <c r="F218" s="24"/>
      <c r="G218" s="24"/>
      <c r="H218" s="24"/>
      <c r="I218" s="24"/>
      <c r="J218" s="24">
        <f t="shared" si="7"/>
        <v>650</v>
      </c>
      <c r="K218" s="24">
        <f t="shared" si="8"/>
        <v>0</v>
      </c>
    </row>
    <row r="219" spans="1:11">
      <c r="A219" s="35"/>
      <c r="B219" s="24">
        <v>14</v>
      </c>
      <c r="C219" s="23" t="s">
        <v>139</v>
      </c>
      <c r="D219" s="23" t="s">
        <v>746</v>
      </c>
      <c r="E219" s="24"/>
      <c r="F219" s="24"/>
      <c r="G219" s="24"/>
      <c r="H219" s="24"/>
      <c r="I219" s="24"/>
      <c r="J219" s="24" t="str">
        <f t="shared" si="7"/>
        <v/>
      </c>
      <c r="K219" s="24">
        <f t="shared" si="8"/>
        <v>650</v>
      </c>
    </row>
    <row r="220" spans="1:11">
      <c r="A220" s="35"/>
      <c r="B220" s="24">
        <v>15</v>
      </c>
      <c r="C220" s="23" t="s">
        <v>140</v>
      </c>
      <c r="D220" s="23" t="s">
        <v>746</v>
      </c>
      <c r="E220" s="24"/>
      <c r="F220" s="24"/>
      <c r="G220" s="24"/>
      <c r="H220" s="24"/>
      <c r="I220" s="24"/>
      <c r="J220" s="24" t="str">
        <f t="shared" si="7"/>
        <v/>
      </c>
      <c r="K220" s="24">
        <f t="shared" si="8"/>
        <v>650</v>
      </c>
    </row>
    <row r="221" spans="1:11">
      <c r="A221" s="35"/>
      <c r="B221" s="24">
        <v>16</v>
      </c>
      <c r="C221" s="23" t="s">
        <v>669</v>
      </c>
      <c r="D221" s="23" t="s">
        <v>747</v>
      </c>
      <c r="E221" s="24"/>
      <c r="F221" s="24"/>
      <c r="G221" s="24"/>
      <c r="H221" s="24"/>
      <c r="I221" s="24"/>
      <c r="J221" s="24" t="str">
        <f t="shared" si="7"/>
        <v/>
      </c>
      <c r="K221" s="24">
        <f t="shared" si="8"/>
        <v>650</v>
      </c>
    </row>
    <row r="222" spans="1:11">
      <c r="A222" s="35"/>
      <c r="B222" s="24">
        <v>17</v>
      </c>
      <c r="C222" s="23" t="s">
        <v>141</v>
      </c>
      <c r="D222" s="23" t="s">
        <v>746</v>
      </c>
      <c r="E222" s="24">
        <v>300</v>
      </c>
      <c r="F222" s="24"/>
      <c r="G222" s="24"/>
      <c r="H222" s="24"/>
      <c r="I222" s="24"/>
      <c r="J222" s="24">
        <f t="shared" si="7"/>
        <v>300</v>
      </c>
      <c r="K222" s="24">
        <f t="shared" si="8"/>
        <v>350</v>
      </c>
    </row>
    <row r="223" spans="1:11">
      <c r="A223" s="35"/>
      <c r="B223" s="24">
        <v>18</v>
      </c>
      <c r="C223" s="23" t="s">
        <v>130</v>
      </c>
      <c r="D223" s="23" t="s">
        <v>747</v>
      </c>
      <c r="E223" s="24">
        <v>200</v>
      </c>
      <c r="F223" s="24"/>
      <c r="G223" s="24"/>
      <c r="H223" s="24"/>
      <c r="I223" s="24"/>
      <c r="J223" s="24">
        <f t="shared" si="7"/>
        <v>200</v>
      </c>
      <c r="K223" s="24">
        <f t="shared" si="8"/>
        <v>450</v>
      </c>
    </row>
    <row r="224" spans="1:11">
      <c r="A224" s="35"/>
      <c r="B224" s="24">
        <v>19</v>
      </c>
      <c r="C224" s="23" t="s">
        <v>131</v>
      </c>
      <c r="D224" s="23" t="s">
        <v>747</v>
      </c>
      <c r="E224" s="24">
        <v>400</v>
      </c>
      <c r="F224" s="24"/>
      <c r="G224" s="24"/>
      <c r="H224" s="24"/>
      <c r="I224" s="24"/>
      <c r="J224" s="24">
        <f t="shared" si="7"/>
        <v>400</v>
      </c>
      <c r="K224" s="24">
        <f t="shared" si="8"/>
        <v>250</v>
      </c>
    </row>
    <row r="225" spans="1:11">
      <c r="A225" s="35"/>
      <c r="B225" s="24">
        <v>20</v>
      </c>
      <c r="C225" s="23" t="s">
        <v>132</v>
      </c>
      <c r="D225" s="23" t="s">
        <v>747</v>
      </c>
      <c r="E225" s="24">
        <v>650</v>
      </c>
      <c r="F225" s="24"/>
      <c r="G225" s="24"/>
      <c r="H225" s="24"/>
      <c r="I225" s="24"/>
      <c r="J225" s="24">
        <f t="shared" si="7"/>
        <v>650</v>
      </c>
      <c r="K225" s="24">
        <f t="shared" si="8"/>
        <v>0</v>
      </c>
    </row>
    <row r="226" spans="1:11">
      <c r="A226" s="35"/>
      <c r="B226" s="24">
        <v>21</v>
      </c>
      <c r="C226" s="23" t="s">
        <v>133</v>
      </c>
      <c r="D226" s="23" t="s">
        <v>747</v>
      </c>
      <c r="E226" s="24">
        <v>330</v>
      </c>
      <c r="F226" s="24"/>
      <c r="G226" s="24"/>
      <c r="H226" s="24"/>
      <c r="I226" s="24"/>
      <c r="J226" s="24">
        <f t="shared" si="7"/>
        <v>330</v>
      </c>
      <c r="K226" s="24">
        <f t="shared" si="8"/>
        <v>320</v>
      </c>
    </row>
    <row r="227" spans="1:11">
      <c r="A227" s="35"/>
      <c r="B227" s="24">
        <v>22</v>
      </c>
      <c r="C227" s="23" t="s">
        <v>134</v>
      </c>
      <c r="D227" s="23" t="s">
        <v>747</v>
      </c>
      <c r="E227" s="24"/>
      <c r="F227" s="24"/>
      <c r="G227" s="24"/>
      <c r="H227" s="24"/>
      <c r="I227" s="24"/>
      <c r="J227" s="24" t="str">
        <f t="shared" si="7"/>
        <v/>
      </c>
      <c r="K227" s="24">
        <f t="shared" si="8"/>
        <v>650</v>
      </c>
    </row>
    <row r="228" spans="1:11">
      <c r="A228" s="35"/>
      <c r="B228" s="24">
        <v>23</v>
      </c>
      <c r="C228" s="23" t="s">
        <v>656</v>
      </c>
      <c r="D228" s="23" t="s">
        <v>747</v>
      </c>
      <c r="E228" s="24"/>
      <c r="F228" s="24"/>
      <c r="G228" s="24"/>
      <c r="H228" s="24"/>
      <c r="I228" s="24"/>
      <c r="J228" s="24" t="str">
        <f t="shared" si="7"/>
        <v/>
      </c>
      <c r="K228" s="24">
        <f t="shared" si="8"/>
        <v>650</v>
      </c>
    </row>
    <row r="229" spans="1:11">
      <c r="A229" s="35"/>
      <c r="B229" s="24">
        <v>24</v>
      </c>
      <c r="C229" s="23" t="s">
        <v>691</v>
      </c>
      <c r="D229" s="23" t="s">
        <v>747</v>
      </c>
      <c r="E229" s="24">
        <v>300</v>
      </c>
      <c r="F229" s="24"/>
      <c r="G229" s="24"/>
      <c r="H229" s="24"/>
      <c r="I229" s="24"/>
      <c r="J229" s="24">
        <f t="shared" si="7"/>
        <v>300</v>
      </c>
      <c r="K229" s="24">
        <f t="shared" si="8"/>
        <v>350</v>
      </c>
    </row>
    <row r="230" spans="1:11">
      <c r="A230" s="35"/>
      <c r="B230" s="24">
        <v>25</v>
      </c>
      <c r="C230" s="23" t="s">
        <v>142</v>
      </c>
      <c r="D230" s="23" t="s">
        <v>746</v>
      </c>
      <c r="E230" s="24">
        <v>500</v>
      </c>
      <c r="F230" s="24"/>
      <c r="G230" s="24"/>
      <c r="H230" s="24"/>
      <c r="I230" s="24"/>
      <c r="J230" s="24">
        <f t="shared" si="7"/>
        <v>500</v>
      </c>
      <c r="K230" s="24">
        <f t="shared" si="8"/>
        <v>150</v>
      </c>
    </row>
    <row r="231" spans="1:11">
      <c r="A231" s="35"/>
      <c r="B231" s="24">
        <v>26</v>
      </c>
      <c r="C231" s="23" t="s">
        <v>208</v>
      </c>
      <c r="D231" s="23" t="s">
        <v>746</v>
      </c>
      <c r="E231" s="24">
        <v>450</v>
      </c>
      <c r="F231" s="24"/>
      <c r="G231" s="24"/>
      <c r="H231" s="24"/>
      <c r="I231" s="24"/>
      <c r="J231" s="24">
        <f t="shared" si="7"/>
        <v>450</v>
      </c>
      <c r="K231" s="24">
        <f t="shared" si="8"/>
        <v>200</v>
      </c>
    </row>
    <row r="232" spans="1:11">
      <c r="A232" s="35"/>
      <c r="B232" s="24">
        <v>27</v>
      </c>
      <c r="C232" s="23" t="s">
        <v>135</v>
      </c>
      <c r="D232" s="23" t="s">
        <v>747</v>
      </c>
      <c r="E232" s="24">
        <v>500</v>
      </c>
      <c r="F232" s="24"/>
      <c r="G232" s="24"/>
      <c r="H232" s="24"/>
      <c r="I232" s="24"/>
      <c r="J232" s="24">
        <f t="shared" si="7"/>
        <v>500</v>
      </c>
      <c r="K232" s="24">
        <f t="shared" si="8"/>
        <v>150</v>
      </c>
    </row>
    <row r="233" spans="1:11">
      <c r="A233" s="35"/>
      <c r="B233" s="24">
        <v>28</v>
      </c>
      <c r="C233" s="23" t="s">
        <v>211</v>
      </c>
      <c r="D233" s="23" t="s">
        <v>746</v>
      </c>
      <c r="E233" s="24"/>
      <c r="F233" s="24"/>
      <c r="G233" s="24"/>
      <c r="H233" s="24"/>
      <c r="I233" s="24"/>
      <c r="J233" s="24" t="str">
        <f t="shared" si="7"/>
        <v/>
      </c>
      <c r="K233" s="24">
        <f t="shared" si="8"/>
        <v>650</v>
      </c>
    </row>
    <row r="234" spans="1:11">
      <c r="A234" s="35"/>
      <c r="B234" s="24">
        <v>29</v>
      </c>
      <c r="C234" s="23" t="s">
        <v>143</v>
      </c>
      <c r="D234" s="23" t="s">
        <v>746</v>
      </c>
      <c r="E234" s="24">
        <v>500</v>
      </c>
      <c r="F234" s="24"/>
      <c r="G234" s="24"/>
      <c r="H234" s="24"/>
      <c r="I234" s="24"/>
      <c r="J234" s="24">
        <f t="shared" si="7"/>
        <v>500</v>
      </c>
      <c r="K234" s="24">
        <f t="shared" si="8"/>
        <v>150</v>
      </c>
    </row>
    <row r="235" spans="1:11">
      <c r="A235" s="35"/>
      <c r="B235" s="24">
        <v>30</v>
      </c>
      <c r="C235" s="23" t="s">
        <v>632</v>
      </c>
      <c r="D235" s="23" t="s">
        <v>746</v>
      </c>
      <c r="E235" s="24">
        <v>20</v>
      </c>
      <c r="F235" s="24"/>
      <c r="G235" s="24"/>
      <c r="H235" s="24"/>
      <c r="I235" s="24"/>
      <c r="J235" s="24">
        <f t="shared" si="7"/>
        <v>20</v>
      </c>
      <c r="K235" s="24">
        <f t="shared" si="8"/>
        <v>630</v>
      </c>
    </row>
    <row r="236" spans="1:11">
      <c r="A236" s="35"/>
      <c r="B236" s="24">
        <v>31</v>
      </c>
      <c r="C236" s="23" t="s">
        <v>633</v>
      </c>
      <c r="D236" s="23" t="s">
        <v>746</v>
      </c>
      <c r="E236" s="24">
        <v>250</v>
      </c>
      <c r="F236" s="24"/>
      <c r="G236" s="24"/>
      <c r="H236" s="24"/>
      <c r="I236" s="24"/>
      <c r="J236" s="24">
        <f t="shared" si="7"/>
        <v>250</v>
      </c>
      <c r="K236" s="24">
        <f t="shared" si="8"/>
        <v>400</v>
      </c>
    </row>
    <row r="237" spans="1:11">
      <c r="A237" s="35"/>
      <c r="B237" s="24">
        <v>32</v>
      </c>
      <c r="C237" s="23" t="s">
        <v>195</v>
      </c>
      <c r="D237" s="23" t="s">
        <v>746</v>
      </c>
      <c r="E237" s="24">
        <v>300</v>
      </c>
      <c r="F237" s="24">
        <v>350</v>
      </c>
      <c r="G237" s="24"/>
      <c r="H237" s="24"/>
      <c r="I237" s="24"/>
      <c r="J237" s="24">
        <f t="shared" si="7"/>
        <v>650</v>
      </c>
      <c r="K237" s="24">
        <f t="shared" si="8"/>
        <v>0</v>
      </c>
    </row>
    <row r="238" spans="1:11">
      <c r="A238" s="35"/>
      <c r="B238" s="24">
        <v>33</v>
      </c>
      <c r="C238" s="23" t="s">
        <v>197</v>
      </c>
      <c r="D238" s="23" t="s">
        <v>746</v>
      </c>
      <c r="E238" s="24">
        <v>650</v>
      </c>
      <c r="F238" s="24"/>
      <c r="G238" s="24"/>
      <c r="H238" s="24"/>
      <c r="I238" s="24"/>
      <c r="J238" s="24">
        <f t="shared" si="7"/>
        <v>650</v>
      </c>
      <c r="K238" s="24">
        <f t="shared" si="8"/>
        <v>0</v>
      </c>
    </row>
    <row r="239" spans="1:11">
      <c r="A239" s="35"/>
      <c r="B239" s="24">
        <v>34</v>
      </c>
      <c r="C239" s="23" t="s">
        <v>144</v>
      </c>
      <c r="D239" s="23" t="s">
        <v>746</v>
      </c>
      <c r="E239" s="24">
        <v>200</v>
      </c>
      <c r="F239" s="24"/>
      <c r="G239" s="24"/>
      <c r="H239" s="24"/>
      <c r="I239" s="24"/>
      <c r="J239" s="24">
        <f t="shared" si="7"/>
        <v>200</v>
      </c>
      <c r="K239" s="24">
        <f t="shared" si="8"/>
        <v>450</v>
      </c>
    </row>
    <row r="240" spans="1:11">
      <c r="A240" s="35"/>
      <c r="B240" s="24">
        <v>35</v>
      </c>
      <c r="C240" s="23" t="s">
        <v>204</v>
      </c>
      <c r="D240" s="23" t="s">
        <v>747</v>
      </c>
      <c r="E240" s="24">
        <v>500</v>
      </c>
      <c r="F240" s="24"/>
      <c r="G240" s="24"/>
      <c r="H240" s="24"/>
      <c r="I240" s="24"/>
      <c r="J240" s="24">
        <f t="shared" si="7"/>
        <v>500</v>
      </c>
      <c r="K240" s="24">
        <f t="shared" si="8"/>
        <v>150</v>
      </c>
    </row>
    <row r="241" spans="1:11">
      <c r="A241" s="35"/>
      <c r="B241" s="24">
        <v>36</v>
      </c>
      <c r="C241" s="23" t="s">
        <v>145</v>
      </c>
      <c r="D241" s="23" t="s">
        <v>746</v>
      </c>
      <c r="E241" s="24">
        <v>150</v>
      </c>
      <c r="F241" s="24"/>
      <c r="G241" s="24"/>
      <c r="H241" s="24"/>
      <c r="I241" s="24"/>
      <c r="J241" s="24">
        <f t="shared" si="7"/>
        <v>150</v>
      </c>
      <c r="K241" s="24">
        <f t="shared" si="8"/>
        <v>500</v>
      </c>
    </row>
    <row r="242" spans="1:11">
      <c r="A242" s="35"/>
      <c r="B242" s="24">
        <v>37</v>
      </c>
      <c r="C242" s="23" t="s">
        <v>655</v>
      </c>
      <c r="D242" s="23" t="s">
        <v>747</v>
      </c>
      <c r="E242" s="24">
        <v>200</v>
      </c>
      <c r="F242" s="24">
        <v>250</v>
      </c>
      <c r="G242" s="24"/>
      <c r="H242" s="24"/>
      <c r="I242" s="24"/>
      <c r="J242" s="24">
        <f t="shared" si="7"/>
        <v>450</v>
      </c>
      <c r="K242" s="24">
        <f t="shared" si="8"/>
        <v>200</v>
      </c>
    </row>
    <row r="243" spans="1:11">
      <c r="A243" s="35"/>
      <c r="B243" s="24">
        <v>38</v>
      </c>
      <c r="C243" s="23" t="s">
        <v>146</v>
      </c>
      <c r="D243" s="23" t="s">
        <v>746</v>
      </c>
      <c r="E243" s="24">
        <v>300</v>
      </c>
      <c r="F243" s="24"/>
      <c r="G243" s="24"/>
      <c r="H243" s="24"/>
      <c r="I243" s="24"/>
      <c r="J243" s="24">
        <f t="shared" si="7"/>
        <v>300</v>
      </c>
      <c r="K243" s="24">
        <f t="shared" si="8"/>
        <v>350</v>
      </c>
    </row>
    <row r="244" spans="1:11">
      <c r="A244" s="35"/>
      <c r="B244" s="24">
        <v>39</v>
      </c>
      <c r="C244" s="23" t="s">
        <v>147</v>
      </c>
      <c r="D244" s="23" t="s">
        <v>746</v>
      </c>
      <c r="E244" s="24">
        <v>550</v>
      </c>
      <c r="F244" s="24">
        <v>100</v>
      </c>
      <c r="G244" s="24"/>
      <c r="H244" s="24"/>
      <c r="I244" s="24"/>
      <c r="J244" s="24">
        <f t="shared" si="7"/>
        <v>650</v>
      </c>
      <c r="K244" s="24">
        <f t="shared" si="8"/>
        <v>0</v>
      </c>
    </row>
    <row r="245" spans="1:11">
      <c r="A245" s="35"/>
      <c r="B245" s="24">
        <v>40</v>
      </c>
      <c r="C245" s="23" t="s">
        <v>136</v>
      </c>
      <c r="D245" s="23" t="s">
        <v>747</v>
      </c>
      <c r="E245" s="24">
        <v>300</v>
      </c>
      <c r="F245" s="24"/>
      <c r="G245" s="24"/>
      <c r="H245" s="24"/>
      <c r="I245" s="24"/>
      <c r="J245" s="24">
        <f t="shared" si="7"/>
        <v>300</v>
      </c>
      <c r="K245" s="24">
        <f t="shared" si="8"/>
        <v>350</v>
      </c>
    </row>
    <row r="246" spans="1:11">
      <c r="A246" s="35"/>
      <c r="B246" s="24">
        <v>41</v>
      </c>
      <c r="C246" s="23" t="s">
        <v>658</v>
      </c>
      <c r="D246" s="23" t="s">
        <v>746</v>
      </c>
      <c r="E246" s="24"/>
      <c r="F246" s="24"/>
      <c r="G246" s="24"/>
      <c r="H246" s="24"/>
      <c r="I246" s="24"/>
      <c r="J246" s="24" t="str">
        <f t="shared" si="7"/>
        <v/>
      </c>
      <c r="K246" s="24">
        <f t="shared" si="8"/>
        <v>650</v>
      </c>
    </row>
    <row r="247" spans="1:11">
      <c r="A247" s="35"/>
      <c r="B247" s="24">
        <v>42</v>
      </c>
      <c r="C247" s="23" t="s">
        <v>192</v>
      </c>
      <c r="D247" s="23" t="s">
        <v>747</v>
      </c>
      <c r="E247" s="24">
        <v>500</v>
      </c>
      <c r="F247" s="24"/>
      <c r="G247" s="24"/>
      <c r="H247" s="24"/>
      <c r="I247" s="24"/>
      <c r="J247" s="24">
        <f t="shared" si="7"/>
        <v>500</v>
      </c>
      <c r="K247" s="24">
        <f t="shared" si="8"/>
        <v>150</v>
      </c>
    </row>
    <row r="248" spans="1:11">
      <c r="A248" s="35"/>
      <c r="B248" s="24">
        <v>43</v>
      </c>
      <c r="C248" s="23" t="s">
        <v>148</v>
      </c>
      <c r="D248" s="23" t="s">
        <v>746</v>
      </c>
      <c r="E248" s="24">
        <v>100</v>
      </c>
      <c r="F248" s="24">
        <v>150</v>
      </c>
      <c r="G248" s="24">
        <v>200</v>
      </c>
      <c r="H248" s="24"/>
      <c r="I248" s="24"/>
      <c r="J248" s="24">
        <f t="shared" si="7"/>
        <v>450</v>
      </c>
      <c r="K248" s="24">
        <f t="shared" si="8"/>
        <v>200</v>
      </c>
    </row>
    <row r="249" spans="1:11">
      <c r="A249" s="35"/>
      <c r="B249" s="24">
        <v>44</v>
      </c>
      <c r="C249" s="23" t="s">
        <v>149</v>
      </c>
      <c r="D249" s="23" t="s">
        <v>746</v>
      </c>
      <c r="E249" s="24">
        <v>400</v>
      </c>
      <c r="F249" s="24"/>
      <c r="G249" s="24"/>
      <c r="H249" s="24"/>
      <c r="I249" s="24"/>
      <c r="J249" s="24">
        <f t="shared" si="7"/>
        <v>400</v>
      </c>
      <c r="K249" s="24">
        <f t="shared" si="8"/>
        <v>250</v>
      </c>
    </row>
    <row r="250" spans="1:11">
      <c r="A250" s="35"/>
      <c r="B250" s="24">
        <v>45</v>
      </c>
      <c r="C250" s="23"/>
      <c r="D250" s="23"/>
      <c r="E250" s="24"/>
      <c r="F250" s="24"/>
      <c r="G250" s="24"/>
      <c r="H250" s="24"/>
      <c r="I250" s="24"/>
      <c r="J250" s="24" t="str">
        <f t="shared" si="7"/>
        <v/>
      </c>
      <c r="K250" s="24">
        <f t="shared" si="8"/>
        <v>650</v>
      </c>
    </row>
    <row r="251" spans="1:11">
      <c r="A251" s="35"/>
      <c r="B251" s="24">
        <v>46</v>
      </c>
      <c r="C251" s="23"/>
      <c r="D251" s="23"/>
      <c r="E251" s="24"/>
      <c r="F251" s="24"/>
      <c r="G251" s="24"/>
      <c r="H251" s="24"/>
      <c r="I251" s="24"/>
      <c r="J251" s="24" t="str">
        <f t="shared" si="7"/>
        <v/>
      </c>
      <c r="K251" s="24">
        <f t="shared" si="8"/>
        <v>650</v>
      </c>
    </row>
    <row r="252" spans="1:11">
      <c r="A252" s="35"/>
      <c r="B252" s="24">
        <v>47</v>
      </c>
      <c r="C252" s="23"/>
      <c r="D252" s="23"/>
      <c r="E252" s="24"/>
      <c r="F252" s="24"/>
      <c r="G252" s="24"/>
      <c r="H252" s="24"/>
      <c r="I252" s="24"/>
      <c r="J252" s="24" t="str">
        <f t="shared" si="7"/>
        <v/>
      </c>
      <c r="K252" s="24">
        <f t="shared" si="8"/>
        <v>650</v>
      </c>
    </row>
    <row r="253" spans="1:11">
      <c r="A253" s="35"/>
      <c r="B253" s="24">
        <v>48</v>
      </c>
      <c r="C253" s="23"/>
      <c r="D253" s="23"/>
      <c r="E253" s="24"/>
      <c r="F253" s="24"/>
      <c r="G253" s="24"/>
      <c r="H253" s="24"/>
      <c r="I253" s="24"/>
      <c r="J253" s="24" t="str">
        <f t="shared" si="7"/>
        <v/>
      </c>
      <c r="K253" s="24">
        <f t="shared" si="8"/>
        <v>650</v>
      </c>
    </row>
    <row r="254" spans="1:11">
      <c r="A254" s="35"/>
      <c r="B254" s="24">
        <v>49</v>
      </c>
      <c r="C254" s="23"/>
      <c r="D254" s="23"/>
      <c r="E254" s="24"/>
      <c r="F254" s="24"/>
      <c r="G254" s="24"/>
      <c r="H254" s="24"/>
      <c r="I254" s="24"/>
      <c r="J254" s="24" t="str">
        <f t="shared" si="7"/>
        <v/>
      </c>
      <c r="K254" s="24">
        <f t="shared" si="8"/>
        <v>650</v>
      </c>
    </row>
    <row r="255" spans="1:11">
      <c r="A255" s="35"/>
      <c r="B255" s="24">
        <v>50</v>
      </c>
      <c r="C255" s="23"/>
      <c r="D255" s="23"/>
      <c r="E255" s="24"/>
      <c r="F255" s="24"/>
      <c r="G255" s="24"/>
      <c r="H255" s="24"/>
      <c r="I255" s="24"/>
      <c r="J255" s="24" t="str">
        <f t="shared" si="7"/>
        <v/>
      </c>
      <c r="K255" s="24">
        <f t="shared" si="8"/>
        <v>650</v>
      </c>
    </row>
    <row r="256" spans="1:11">
      <c r="A256" s="35"/>
      <c r="B256" s="24">
        <v>51</v>
      </c>
      <c r="C256" s="23"/>
      <c r="D256" s="23"/>
      <c r="E256" s="24"/>
      <c r="F256" s="24"/>
      <c r="G256" s="24"/>
      <c r="H256" s="24"/>
      <c r="I256" s="24"/>
      <c r="J256" s="24" t="str">
        <f t="shared" si="7"/>
        <v/>
      </c>
      <c r="K256" s="24">
        <f t="shared" si="8"/>
        <v>650</v>
      </c>
    </row>
    <row r="257" spans="1:11">
      <c r="A257" s="35"/>
      <c r="B257" s="24">
        <v>52</v>
      </c>
      <c r="C257" s="23"/>
      <c r="D257" s="23"/>
      <c r="E257" s="24"/>
      <c r="F257" s="24"/>
      <c r="G257" s="24"/>
      <c r="H257" s="24"/>
      <c r="I257" s="24"/>
      <c r="J257" s="24" t="str">
        <f t="shared" si="7"/>
        <v/>
      </c>
      <c r="K257" s="24">
        <f t="shared" si="8"/>
        <v>650</v>
      </c>
    </row>
    <row r="258" spans="1:11">
      <c r="A258" s="35"/>
      <c r="B258" s="24">
        <v>53</v>
      </c>
      <c r="C258" s="23"/>
      <c r="D258" s="23"/>
      <c r="E258" s="24"/>
      <c r="F258" s="24"/>
      <c r="G258" s="24"/>
      <c r="H258" s="24"/>
      <c r="I258" s="24"/>
      <c r="J258" s="24" t="str">
        <f t="shared" si="7"/>
        <v/>
      </c>
      <c r="K258" s="24">
        <f t="shared" si="8"/>
        <v>650</v>
      </c>
    </row>
    <row r="259" spans="1:11">
      <c r="A259" s="35"/>
      <c r="B259" s="24">
        <v>54</v>
      </c>
      <c r="C259" s="23"/>
      <c r="D259" s="23"/>
      <c r="E259" s="24"/>
      <c r="F259" s="24"/>
      <c r="G259" s="24"/>
      <c r="H259" s="24"/>
      <c r="I259" s="24"/>
      <c r="J259" s="24" t="str">
        <f t="shared" si="7"/>
        <v/>
      </c>
      <c r="K259" s="24">
        <f t="shared" si="8"/>
        <v>650</v>
      </c>
    </row>
    <row r="260" spans="1:11">
      <c r="A260" s="35"/>
      <c r="B260" s="24">
        <v>55</v>
      </c>
      <c r="C260" s="23"/>
      <c r="D260" s="23"/>
      <c r="E260" s="24"/>
      <c r="F260" s="24"/>
      <c r="G260" s="24"/>
      <c r="H260" s="24"/>
      <c r="I260" s="24"/>
      <c r="J260" s="24" t="str">
        <f t="shared" si="7"/>
        <v/>
      </c>
      <c r="K260" s="24">
        <f t="shared" si="8"/>
        <v>650</v>
      </c>
    </row>
    <row r="261" spans="1:11">
      <c r="A261" s="35"/>
      <c r="B261" s="24">
        <v>56</v>
      </c>
      <c r="C261" s="23"/>
      <c r="D261" s="23"/>
      <c r="E261" s="24"/>
      <c r="F261" s="24"/>
      <c r="G261" s="24"/>
      <c r="H261" s="24"/>
      <c r="I261" s="24"/>
      <c r="J261" s="24" t="str">
        <f t="shared" si="7"/>
        <v/>
      </c>
      <c r="K261" s="24">
        <f t="shared" si="8"/>
        <v>650</v>
      </c>
    </row>
    <row r="262" spans="1:11">
      <c r="A262" s="35"/>
      <c r="B262" s="24">
        <v>57</v>
      </c>
      <c r="C262" s="23"/>
      <c r="D262" s="23"/>
      <c r="E262" s="24"/>
      <c r="F262" s="24"/>
      <c r="G262" s="24"/>
      <c r="H262" s="24"/>
      <c r="I262" s="24"/>
      <c r="J262" s="24" t="str">
        <f t="shared" si="7"/>
        <v/>
      </c>
      <c r="K262" s="24">
        <f t="shared" si="8"/>
        <v>650</v>
      </c>
    </row>
    <row r="263" spans="1:11">
      <c r="A263" s="35"/>
      <c r="B263" s="24">
        <v>58</v>
      </c>
      <c r="C263" s="23"/>
      <c r="D263" s="23"/>
      <c r="E263" s="24"/>
      <c r="F263" s="24"/>
      <c r="G263" s="24"/>
      <c r="H263" s="24"/>
      <c r="I263" s="24"/>
      <c r="J263" s="24" t="str">
        <f t="shared" si="7"/>
        <v/>
      </c>
      <c r="K263" s="24">
        <f t="shared" si="8"/>
        <v>650</v>
      </c>
    </row>
    <row r="264" spans="1:11">
      <c r="A264" s="35"/>
      <c r="B264" s="24">
        <v>59</v>
      </c>
      <c r="C264" s="23"/>
      <c r="D264" s="23"/>
      <c r="E264" s="24"/>
      <c r="F264" s="24"/>
      <c r="G264" s="24"/>
      <c r="H264" s="24"/>
      <c r="I264" s="24"/>
      <c r="J264" s="24" t="str">
        <f t="shared" si="7"/>
        <v/>
      </c>
      <c r="K264" s="24">
        <f t="shared" si="8"/>
        <v>650</v>
      </c>
    </row>
    <row r="265" spans="1:11">
      <c r="A265" s="35"/>
      <c r="B265" s="24">
        <v>60</v>
      </c>
      <c r="C265" s="23"/>
      <c r="D265" s="23"/>
      <c r="E265" s="24"/>
      <c r="F265" s="24"/>
      <c r="G265" s="24"/>
      <c r="H265" s="24"/>
      <c r="I265" s="24"/>
      <c r="J265" s="24" t="str">
        <f t="shared" si="7"/>
        <v/>
      </c>
      <c r="K265" s="24">
        <f t="shared" si="8"/>
        <v>650</v>
      </c>
    </row>
    <row r="266" spans="1:11">
      <c r="A266" s="35"/>
      <c r="B266" s="34"/>
      <c r="C266" s="34"/>
      <c r="D266" s="34"/>
      <c r="E266" s="34"/>
      <c r="F266" s="34"/>
      <c r="G266" s="34"/>
      <c r="H266" s="34"/>
      <c r="I266" s="33" t="s">
        <v>31</v>
      </c>
      <c r="J266" s="33"/>
      <c r="K266" s="24">
        <f>SUM(K206:K265)</f>
        <v>25100</v>
      </c>
    </row>
    <row r="270" spans="1:11">
      <c r="A270" s="23">
        <v>5</v>
      </c>
      <c r="B270" s="23" t="s">
        <v>0</v>
      </c>
      <c r="C270" s="28" t="str">
        <f>IF('Navigation and Summary'!$B$13="", "", 'Navigation and Summary'!$B$13)</f>
        <v>KG-2</v>
      </c>
      <c r="D270" s="28"/>
      <c r="E270" s="23" t="s">
        <v>37</v>
      </c>
      <c r="F270" s="24">
        <f>IF('Navigation and Summary'!$C$13="", "", 'Navigation and Summary'!$C$13)</f>
        <v>650</v>
      </c>
      <c r="G270" s="23" t="s">
        <v>34</v>
      </c>
      <c r="H270" s="24" t="str">
        <f>IF(C270="", "", 'Navigation and Summary'!$G$6)</f>
        <v>2025-26</v>
      </c>
    </row>
    <row r="271" spans="1:11">
      <c r="A271" s="35"/>
      <c r="B271" s="35" t="s">
        <v>32</v>
      </c>
      <c r="C271" s="35"/>
      <c r="D271" s="35"/>
      <c r="E271" s="35"/>
      <c r="F271" s="35"/>
      <c r="G271" s="35"/>
      <c r="H271" s="35"/>
      <c r="I271" s="23"/>
      <c r="J271" s="23"/>
      <c r="K271" s="23"/>
    </row>
    <row r="272" spans="1:11" ht="28.5">
      <c r="A272" s="35"/>
      <c r="B272" s="25" t="s">
        <v>1</v>
      </c>
      <c r="C272" s="25" t="s">
        <v>2</v>
      </c>
      <c r="D272" s="25" t="s">
        <v>745</v>
      </c>
      <c r="E272" s="25" t="s">
        <v>3</v>
      </c>
      <c r="F272" s="25" t="s">
        <v>4</v>
      </c>
      <c r="G272" s="25" t="s">
        <v>5</v>
      </c>
      <c r="H272" s="25" t="s">
        <v>6</v>
      </c>
      <c r="I272" s="25" t="s">
        <v>7</v>
      </c>
      <c r="J272" s="25" t="s">
        <v>8</v>
      </c>
      <c r="K272" s="25" t="s">
        <v>9</v>
      </c>
    </row>
    <row r="273" spans="1:11">
      <c r="A273" s="35"/>
      <c r="B273" s="24">
        <v>1</v>
      </c>
      <c r="C273" s="23" t="s">
        <v>209</v>
      </c>
      <c r="D273" s="23" t="s">
        <v>746</v>
      </c>
      <c r="E273" s="24">
        <v>150</v>
      </c>
      <c r="F273" s="24"/>
      <c r="G273" s="24"/>
      <c r="H273" s="24"/>
      <c r="I273" s="24"/>
      <c r="J273" s="24">
        <f>IF(SUM(E273:I273)=0, "", SUM(E273:I273))</f>
        <v>150</v>
      </c>
      <c r="K273" s="24">
        <f xml:space="preserve"> IFERROR(IF(($F$270-J273)=0, 0, ($F$270-J273)),$F$270)</f>
        <v>500</v>
      </c>
    </row>
    <row r="274" spans="1:11">
      <c r="A274" s="35"/>
      <c r="B274" s="24">
        <v>2</v>
      </c>
      <c r="C274" s="23" t="s">
        <v>98</v>
      </c>
      <c r="D274" s="23" t="s">
        <v>747</v>
      </c>
      <c r="E274" s="24">
        <v>400</v>
      </c>
      <c r="F274" s="24"/>
      <c r="G274" s="24"/>
      <c r="H274" s="24"/>
      <c r="I274" s="24"/>
      <c r="J274" s="24">
        <f t="shared" ref="J274:J332" si="9">IF(SUM(E274:I274)=0, "", SUM(E274:I274))</f>
        <v>400</v>
      </c>
      <c r="K274" s="24">
        <f t="shared" ref="K274:K332" si="10" xml:space="preserve"> IFERROR(IF(($F$270-J274)=0, 0, ($F$270-J274)),$F$270)</f>
        <v>250</v>
      </c>
    </row>
    <row r="275" spans="1:11">
      <c r="A275" s="35"/>
      <c r="B275" s="24">
        <v>3</v>
      </c>
      <c r="C275" s="23" t="s">
        <v>99</v>
      </c>
      <c r="D275" s="23" t="s">
        <v>747</v>
      </c>
      <c r="E275" s="24"/>
      <c r="F275" s="24"/>
      <c r="G275" s="24"/>
      <c r="H275" s="24"/>
      <c r="I275" s="24"/>
      <c r="J275" s="24" t="str">
        <f t="shared" si="9"/>
        <v/>
      </c>
      <c r="K275" s="24">
        <f t="shared" si="10"/>
        <v>650</v>
      </c>
    </row>
    <row r="276" spans="1:11">
      <c r="A276" s="35"/>
      <c r="B276" s="24">
        <v>4</v>
      </c>
      <c r="C276" s="23" t="s">
        <v>94</v>
      </c>
      <c r="D276" s="23" t="s">
        <v>746</v>
      </c>
      <c r="E276" s="24">
        <v>300</v>
      </c>
      <c r="F276" s="24"/>
      <c r="G276" s="24"/>
      <c r="H276" s="24"/>
      <c r="I276" s="24"/>
      <c r="J276" s="24">
        <f t="shared" si="9"/>
        <v>300</v>
      </c>
      <c r="K276" s="24">
        <f t="shared" si="10"/>
        <v>350</v>
      </c>
    </row>
    <row r="277" spans="1:11">
      <c r="A277" s="35"/>
      <c r="B277" s="24">
        <v>5</v>
      </c>
      <c r="C277" s="23" t="s">
        <v>186</v>
      </c>
      <c r="D277" s="23" t="s">
        <v>747</v>
      </c>
      <c r="E277" s="24"/>
      <c r="F277" s="24"/>
      <c r="G277" s="24"/>
      <c r="H277" s="24"/>
      <c r="I277" s="24"/>
      <c r="J277" s="24" t="str">
        <f t="shared" si="9"/>
        <v/>
      </c>
      <c r="K277" s="24">
        <f t="shared" si="10"/>
        <v>650</v>
      </c>
    </row>
    <row r="278" spans="1:11">
      <c r="A278" s="35"/>
      <c r="B278" s="24">
        <v>6</v>
      </c>
      <c r="C278" s="23" t="s">
        <v>85</v>
      </c>
      <c r="D278" s="23" t="s">
        <v>746</v>
      </c>
      <c r="E278" s="24">
        <v>300</v>
      </c>
      <c r="F278" s="24"/>
      <c r="G278" s="24"/>
      <c r="H278" s="24"/>
      <c r="I278" s="24"/>
      <c r="J278" s="24">
        <f t="shared" si="9"/>
        <v>300</v>
      </c>
      <c r="K278" s="24">
        <f t="shared" si="10"/>
        <v>350</v>
      </c>
    </row>
    <row r="279" spans="1:11">
      <c r="A279" s="35"/>
      <c r="B279" s="24">
        <v>7</v>
      </c>
      <c r="C279" s="23" t="s">
        <v>667</v>
      </c>
      <c r="D279" s="23" t="s">
        <v>746</v>
      </c>
      <c r="E279" s="24"/>
      <c r="F279" s="24"/>
      <c r="G279" s="24"/>
      <c r="H279" s="24"/>
      <c r="I279" s="24"/>
      <c r="J279" s="24" t="str">
        <f t="shared" si="9"/>
        <v/>
      </c>
      <c r="K279" s="24">
        <f t="shared" si="10"/>
        <v>650</v>
      </c>
    </row>
    <row r="280" spans="1:11">
      <c r="A280" s="35"/>
      <c r="B280" s="24">
        <v>8</v>
      </c>
      <c r="C280" s="23" t="s">
        <v>641</v>
      </c>
      <c r="D280" s="23" t="s">
        <v>747</v>
      </c>
      <c r="E280" s="24"/>
      <c r="F280" s="24"/>
      <c r="G280" s="24"/>
      <c r="H280" s="24"/>
      <c r="I280" s="24"/>
      <c r="J280" s="24" t="str">
        <f t="shared" si="9"/>
        <v/>
      </c>
      <c r="K280" s="24">
        <f t="shared" si="10"/>
        <v>650</v>
      </c>
    </row>
    <row r="281" spans="1:11">
      <c r="A281" s="35"/>
      <c r="B281" s="24">
        <v>9</v>
      </c>
      <c r="C281" s="23" t="s">
        <v>100</v>
      </c>
      <c r="D281" s="23" t="s">
        <v>747</v>
      </c>
      <c r="E281" s="24">
        <v>150</v>
      </c>
      <c r="F281" s="24">
        <v>100</v>
      </c>
      <c r="G281" s="24"/>
      <c r="H281" s="24"/>
      <c r="I281" s="24"/>
      <c r="J281" s="24">
        <f t="shared" si="9"/>
        <v>250</v>
      </c>
      <c r="K281" s="24">
        <f t="shared" si="10"/>
        <v>400</v>
      </c>
    </row>
    <row r="282" spans="1:11">
      <c r="A282" s="35"/>
      <c r="B282" s="24">
        <v>10</v>
      </c>
      <c r="C282" s="23" t="s">
        <v>101</v>
      </c>
      <c r="D282" s="23" t="s">
        <v>747</v>
      </c>
      <c r="E282" s="24">
        <v>550</v>
      </c>
      <c r="F282" s="24"/>
      <c r="G282" s="24"/>
      <c r="H282" s="24"/>
      <c r="I282" s="24"/>
      <c r="J282" s="24">
        <f t="shared" si="9"/>
        <v>550</v>
      </c>
      <c r="K282" s="24">
        <f t="shared" si="10"/>
        <v>100</v>
      </c>
    </row>
    <row r="283" spans="1:11">
      <c r="A283" s="35"/>
      <c r="B283" s="24">
        <v>11</v>
      </c>
      <c r="C283" s="23" t="s">
        <v>207</v>
      </c>
      <c r="D283" s="23" t="s">
        <v>747</v>
      </c>
      <c r="E283" s="24">
        <v>650</v>
      </c>
      <c r="F283" s="24"/>
      <c r="G283" s="24"/>
      <c r="H283" s="24"/>
      <c r="I283" s="24"/>
      <c r="J283" s="24">
        <f t="shared" si="9"/>
        <v>650</v>
      </c>
      <c r="K283" s="24">
        <f t="shared" si="10"/>
        <v>0</v>
      </c>
    </row>
    <row r="284" spans="1:11">
      <c r="A284" s="35"/>
      <c r="B284" s="24">
        <v>12</v>
      </c>
      <c r="C284" s="23" t="s">
        <v>181</v>
      </c>
      <c r="D284" s="23" t="s">
        <v>747</v>
      </c>
      <c r="E284" s="24"/>
      <c r="F284" s="24"/>
      <c r="G284" s="24"/>
      <c r="H284" s="24"/>
      <c r="I284" s="24"/>
      <c r="J284" s="24" t="str">
        <f t="shared" si="9"/>
        <v/>
      </c>
      <c r="K284" s="24">
        <f t="shared" si="10"/>
        <v>650</v>
      </c>
    </row>
    <row r="285" spans="1:11">
      <c r="A285" s="35"/>
      <c r="B285" s="24">
        <v>13</v>
      </c>
      <c r="C285" s="23" t="s">
        <v>86</v>
      </c>
      <c r="D285" s="23" t="s">
        <v>746</v>
      </c>
      <c r="E285" s="24">
        <v>250</v>
      </c>
      <c r="F285" s="24"/>
      <c r="G285" s="24"/>
      <c r="H285" s="24"/>
      <c r="I285" s="24"/>
      <c r="J285" s="24">
        <f t="shared" si="9"/>
        <v>250</v>
      </c>
      <c r="K285" s="24">
        <f t="shared" si="10"/>
        <v>400</v>
      </c>
    </row>
    <row r="286" spans="1:11">
      <c r="A286" s="35"/>
      <c r="B286" s="24">
        <v>14</v>
      </c>
      <c r="C286" s="23" t="s">
        <v>96</v>
      </c>
      <c r="D286" s="23" t="s">
        <v>746</v>
      </c>
      <c r="E286" s="24"/>
      <c r="F286" s="24"/>
      <c r="G286" s="24"/>
      <c r="H286" s="24"/>
      <c r="I286" s="24"/>
      <c r="J286" s="24" t="str">
        <f t="shared" si="9"/>
        <v/>
      </c>
      <c r="K286" s="24">
        <f t="shared" si="10"/>
        <v>650</v>
      </c>
    </row>
    <row r="287" spans="1:11">
      <c r="A287" s="35"/>
      <c r="B287" s="24">
        <v>15</v>
      </c>
      <c r="C287" s="23" t="s">
        <v>87</v>
      </c>
      <c r="D287" s="23" t="s">
        <v>746</v>
      </c>
      <c r="E287" s="24">
        <v>650</v>
      </c>
      <c r="F287" s="24"/>
      <c r="G287" s="24"/>
      <c r="H287" s="24"/>
      <c r="I287" s="24"/>
      <c r="J287" s="24">
        <f t="shared" si="9"/>
        <v>650</v>
      </c>
      <c r="K287" s="24">
        <f t="shared" si="10"/>
        <v>0</v>
      </c>
    </row>
    <row r="288" spans="1:11">
      <c r="A288" s="35"/>
      <c r="B288" s="24">
        <v>16</v>
      </c>
      <c r="C288" s="23" t="s">
        <v>638</v>
      </c>
      <c r="D288" s="23" t="s">
        <v>746</v>
      </c>
      <c r="E288" s="24">
        <v>100</v>
      </c>
      <c r="F288" s="24"/>
      <c r="G288" s="24"/>
      <c r="H288" s="24"/>
      <c r="I288" s="24"/>
      <c r="J288" s="24">
        <f t="shared" si="9"/>
        <v>100</v>
      </c>
      <c r="K288" s="24">
        <f t="shared" si="10"/>
        <v>550</v>
      </c>
    </row>
    <row r="289" spans="1:16">
      <c r="A289" s="35"/>
      <c r="B289" s="24">
        <v>17</v>
      </c>
      <c r="C289" s="23" t="s">
        <v>88</v>
      </c>
      <c r="D289" s="23" t="s">
        <v>746</v>
      </c>
      <c r="E289" s="24">
        <v>100</v>
      </c>
      <c r="F289" s="24"/>
      <c r="G289" s="24"/>
      <c r="H289" s="24"/>
      <c r="I289" s="24"/>
      <c r="J289" s="24">
        <f t="shared" si="9"/>
        <v>100</v>
      </c>
      <c r="K289" s="24">
        <f t="shared" si="10"/>
        <v>550</v>
      </c>
    </row>
    <row r="290" spans="1:16">
      <c r="A290" s="35"/>
      <c r="B290" s="24">
        <v>18</v>
      </c>
      <c r="C290" s="23" t="s">
        <v>102</v>
      </c>
      <c r="D290" s="23" t="s">
        <v>747</v>
      </c>
      <c r="E290" s="24">
        <v>200</v>
      </c>
      <c r="F290" s="24">
        <v>200</v>
      </c>
      <c r="G290" s="24"/>
      <c r="H290" s="24"/>
      <c r="I290" s="24"/>
      <c r="J290" s="24">
        <f t="shared" si="9"/>
        <v>400</v>
      </c>
      <c r="K290" s="24">
        <f t="shared" si="10"/>
        <v>250</v>
      </c>
    </row>
    <row r="291" spans="1:16">
      <c r="A291" s="35"/>
      <c r="B291" s="24">
        <v>19</v>
      </c>
      <c r="C291" s="23" t="s">
        <v>214</v>
      </c>
      <c r="D291" s="23" t="s">
        <v>747</v>
      </c>
      <c r="E291" s="24">
        <v>400</v>
      </c>
      <c r="F291" s="24"/>
      <c r="G291" s="24"/>
      <c r="H291" s="24"/>
      <c r="I291" s="24"/>
      <c r="J291" s="24">
        <f t="shared" si="9"/>
        <v>400</v>
      </c>
      <c r="K291" s="24">
        <f t="shared" si="10"/>
        <v>250</v>
      </c>
    </row>
    <row r="292" spans="1:16">
      <c r="A292" s="35"/>
      <c r="B292" s="24">
        <v>20</v>
      </c>
      <c r="C292" s="23" t="s">
        <v>668</v>
      </c>
      <c r="D292" s="23" t="s">
        <v>746</v>
      </c>
      <c r="E292" s="24"/>
      <c r="F292" s="24"/>
      <c r="G292" s="24"/>
      <c r="H292" s="24"/>
      <c r="I292" s="24"/>
      <c r="J292" s="24" t="str">
        <f t="shared" si="9"/>
        <v/>
      </c>
      <c r="K292" s="24">
        <f t="shared" si="10"/>
        <v>650</v>
      </c>
    </row>
    <row r="293" spans="1:16">
      <c r="A293" s="35"/>
      <c r="B293" s="24">
        <v>21</v>
      </c>
      <c r="C293" s="23" t="s">
        <v>627</v>
      </c>
      <c r="D293" s="23" t="s">
        <v>746</v>
      </c>
      <c r="E293" s="24">
        <v>350</v>
      </c>
      <c r="F293" s="24"/>
      <c r="G293" s="24"/>
      <c r="H293" s="24"/>
      <c r="I293" s="24"/>
      <c r="J293" s="24">
        <f t="shared" si="9"/>
        <v>350</v>
      </c>
      <c r="K293" s="24">
        <f t="shared" si="10"/>
        <v>300</v>
      </c>
    </row>
    <row r="294" spans="1:16">
      <c r="A294" s="35"/>
      <c r="B294" s="24">
        <v>22</v>
      </c>
      <c r="C294" s="23" t="s">
        <v>614</v>
      </c>
      <c r="D294" s="23" t="s">
        <v>747</v>
      </c>
      <c r="E294" s="24">
        <v>650</v>
      </c>
      <c r="F294" s="24"/>
      <c r="G294" s="24"/>
      <c r="H294" s="24"/>
      <c r="I294" s="24"/>
      <c r="J294" s="24">
        <f t="shared" si="9"/>
        <v>650</v>
      </c>
      <c r="K294" s="24">
        <f t="shared" si="10"/>
        <v>0</v>
      </c>
    </row>
    <row r="295" spans="1:16">
      <c r="A295" s="35"/>
      <c r="B295" s="24">
        <v>23</v>
      </c>
      <c r="C295" s="23" t="s">
        <v>89</v>
      </c>
      <c r="D295" s="23" t="s">
        <v>746</v>
      </c>
      <c r="E295" s="24">
        <v>650</v>
      </c>
      <c r="F295" s="24"/>
      <c r="G295" s="24"/>
      <c r="H295" s="24"/>
      <c r="I295" s="24"/>
      <c r="J295" s="24">
        <f t="shared" si="9"/>
        <v>650</v>
      </c>
      <c r="K295" s="24">
        <f t="shared" si="10"/>
        <v>0</v>
      </c>
      <c r="P295" s="22" t="s">
        <v>649</v>
      </c>
    </row>
    <row r="296" spans="1:16">
      <c r="A296" s="35"/>
      <c r="B296" s="24">
        <v>24</v>
      </c>
      <c r="C296" s="23" t="s">
        <v>90</v>
      </c>
      <c r="D296" s="23" t="s">
        <v>746</v>
      </c>
      <c r="E296" s="24">
        <v>300</v>
      </c>
      <c r="F296" s="24">
        <v>250</v>
      </c>
      <c r="G296" s="24"/>
      <c r="H296" s="24"/>
      <c r="I296" s="24"/>
      <c r="J296" s="24">
        <f t="shared" si="9"/>
        <v>550</v>
      </c>
      <c r="K296" s="24">
        <f t="shared" si="10"/>
        <v>100</v>
      </c>
    </row>
    <row r="297" spans="1:16">
      <c r="A297" s="35"/>
      <c r="B297" s="24">
        <v>25</v>
      </c>
      <c r="C297" s="23" t="s">
        <v>103</v>
      </c>
      <c r="D297" s="23" t="s">
        <v>747</v>
      </c>
      <c r="E297" s="24"/>
      <c r="F297" s="24"/>
      <c r="G297" s="24"/>
      <c r="H297" s="24"/>
      <c r="I297" s="24"/>
      <c r="J297" s="24" t="str">
        <f t="shared" si="9"/>
        <v/>
      </c>
      <c r="K297" s="24">
        <f t="shared" si="10"/>
        <v>650</v>
      </c>
    </row>
    <row r="298" spans="1:16">
      <c r="A298" s="35"/>
      <c r="B298" s="24">
        <v>26</v>
      </c>
      <c r="C298" s="23" t="s">
        <v>665</v>
      </c>
      <c r="D298" s="23" t="s">
        <v>747</v>
      </c>
      <c r="E298" s="24">
        <v>400</v>
      </c>
      <c r="F298" s="24"/>
      <c r="G298" s="24"/>
      <c r="H298" s="24"/>
      <c r="I298" s="24"/>
      <c r="J298" s="24">
        <f t="shared" si="9"/>
        <v>400</v>
      </c>
      <c r="K298" s="24">
        <f t="shared" si="10"/>
        <v>250</v>
      </c>
    </row>
    <row r="299" spans="1:16">
      <c r="A299" s="35"/>
      <c r="B299" s="24">
        <v>27</v>
      </c>
      <c r="C299" s="23" t="s">
        <v>104</v>
      </c>
      <c r="D299" s="23" t="s">
        <v>747</v>
      </c>
      <c r="E299" s="24">
        <v>300</v>
      </c>
      <c r="F299" s="24">
        <v>350</v>
      </c>
      <c r="G299" s="24"/>
      <c r="H299" s="24"/>
      <c r="I299" s="24"/>
      <c r="J299" s="24">
        <f t="shared" si="9"/>
        <v>650</v>
      </c>
      <c r="K299" s="24">
        <f t="shared" si="10"/>
        <v>0</v>
      </c>
    </row>
    <row r="300" spans="1:16">
      <c r="A300" s="35"/>
      <c r="B300" s="24">
        <v>28</v>
      </c>
      <c r="C300" s="23" t="s">
        <v>664</v>
      </c>
      <c r="D300" s="23" t="s">
        <v>747</v>
      </c>
      <c r="E300" s="24">
        <v>50</v>
      </c>
      <c r="F300" s="24">
        <v>150</v>
      </c>
      <c r="G300" s="24">
        <v>200</v>
      </c>
      <c r="H300" s="24"/>
      <c r="I300" s="24"/>
      <c r="J300" s="24">
        <f t="shared" si="9"/>
        <v>400</v>
      </c>
      <c r="K300" s="24">
        <f t="shared" si="10"/>
        <v>250</v>
      </c>
    </row>
    <row r="301" spans="1:16">
      <c r="A301" s="35"/>
      <c r="B301" s="24">
        <v>29</v>
      </c>
      <c r="C301" s="23" t="s">
        <v>193</v>
      </c>
      <c r="D301" s="23" t="s">
        <v>746</v>
      </c>
      <c r="E301" s="24">
        <v>150</v>
      </c>
      <c r="F301" s="24"/>
      <c r="G301" s="24"/>
      <c r="H301" s="24"/>
      <c r="I301" s="24"/>
      <c r="J301" s="24">
        <f t="shared" si="9"/>
        <v>150</v>
      </c>
      <c r="K301" s="24">
        <f t="shared" si="10"/>
        <v>500</v>
      </c>
    </row>
    <row r="302" spans="1:16">
      <c r="A302" s="35"/>
      <c r="B302" s="24">
        <v>30</v>
      </c>
      <c r="C302" s="23" t="s">
        <v>105</v>
      </c>
      <c r="D302" s="23" t="s">
        <v>747</v>
      </c>
      <c r="E302" s="24">
        <v>500</v>
      </c>
      <c r="F302" s="24"/>
      <c r="G302" s="24"/>
      <c r="H302" s="24"/>
      <c r="I302" s="24"/>
      <c r="J302" s="24">
        <f t="shared" si="9"/>
        <v>500</v>
      </c>
      <c r="K302" s="24">
        <f t="shared" si="10"/>
        <v>150</v>
      </c>
    </row>
    <row r="303" spans="1:16">
      <c r="A303" s="35"/>
      <c r="B303" s="24">
        <v>31</v>
      </c>
      <c r="C303" s="23" t="s">
        <v>189</v>
      </c>
      <c r="D303" s="23" t="s">
        <v>746</v>
      </c>
      <c r="E303" s="24">
        <v>150</v>
      </c>
      <c r="F303" s="24">
        <v>200</v>
      </c>
      <c r="G303" s="24"/>
      <c r="H303" s="24"/>
      <c r="I303" s="24"/>
      <c r="J303" s="24">
        <f t="shared" si="9"/>
        <v>350</v>
      </c>
      <c r="K303" s="24">
        <f t="shared" si="10"/>
        <v>300</v>
      </c>
    </row>
    <row r="304" spans="1:16">
      <c r="A304" s="35"/>
      <c r="B304" s="24">
        <v>32</v>
      </c>
      <c r="C304" s="23" t="s">
        <v>182</v>
      </c>
      <c r="D304" s="23" t="s">
        <v>746</v>
      </c>
      <c r="E304" s="24">
        <v>250</v>
      </c>
      <c r="F304" s="24">
        <v>200</v>
      </c>
      <c r="G304" s="24"/>
      <c r="H304" s="24"/>
      <c r="I304" s="24"/>
      <c r="J304" s="24">
        <f t="shared" si="9"/>
        <v>450</v>
      </c>
      <c r="K304" s="24">
        <f t="shared" si="10"/>
        <v>200</v>
      </c>
    </row>
    <row r="305" spans="1:11">
      <c r="A305" s="35"/>
      <c r="B305" s="24">
        <v>33</v>
      </c>
      <c r="C305" s="23" t="s">
        <v>91</v>
      </c>
      <c r="D305" s="23" t="s">
        <v>746</v>
      </c>
      <c r="E305" s="24">
        <v>50</v>
      </c>
      <c r="F305" s="24">
        <v>200</v>
      </c>
      <c r="G305" s="24">
        <v>400</v>
      </c>
      <c r="H305" s="24"/>
      <c r="I305" s="24"/>
      <c r="J305" s="24">
        <f t="shared" si="9"/>
        <v>650</v>
      </c>
      <c r="K305" s="24">
        <f t="shared" si="10"/>
        <v>0</v>
      </c>
    </row>
    <row r="306" spans="1:11">
      <c r="A306" s="35"/>
      <c r="B306" s="24">
        <v>34</v>
      </c>
      <c r="C306" s="23" t="s">
        <v>206</v>
      </c>
      <c r="D306" s="23" t="s">
        <v>747</v>
      </c>
      <c r="E306" s="24">
        <v>650</v>
      </c>
      <c r="F306" s="24"/>
      <c r="G306" s="24"/>
      <c r="H306" s="24"/>
      <c r="I306" s="24"/>
      <c r="J306" s="24">
        <f t="shared" si="9"/>
        <v>650</v>
      </c>
      <c r="K306" s="24">
        <f t="shared" si="10"/>
        <v>0</v>
      </c>
    </row>
    <row r="307" spans="1:11">
      <c r="A307" s="35"/>
      <c r="B307" s="24">
        <v>35</v>
      </c>
      <c r="C307" s="23" t="s">
        <v>744</v>
      </c>
      <c r="D307" s="23" t="s">
        <v>746</v>
      </c>
      <c r="E307" s="24">
        <v>90</v>
      </c>
      <c r="F307" s="24">
        <v>400</v>
      </c>
      <c r="G307" s="24"/>
      <c r="H307" s="24"/>
      <c r="I307" s="24"/>
      <c r="J307" s="24">
        <f t="shared" si="9"/>
        <v>490</v>
      </c>
      <c r="K307" s="24">
        <f t="shared" si="10"/>
        <v>160</v>
      </c>
    </row>
    <row r="308" spans="1:11">
      <c r="A308" s="35"/>
      <c r="B308" s="24">
        <v>36</v>
      </c>
      <c r="C308" s="23" t="s">
        <v>92</v>
      </c>
      <c r="D308" s="23" t="s">
        <v>746</v>
      </c>
      <c r="E308" s="24">
        <v>500</v>
      </c>
      <c r="F308" s="24">
        <v>150</v>
      </c>
      <c r="G308" s="24"/>
      <c r="H308" s="30"/>
      <c r="I308" s="24"/>
      <c r="J308" s="24">
        <f t="shared" si="9"/>
        <v>650</v>
      </c>
      <c r="K308" s="24">
        <f t="shared" si="10"/>
        <v>0</v>
      </c>
    </row>
    <row r="309" spans="1:11">
      <c r="A309" s="35"/>
      <c r="B309" s="24">
        <v>37</v>
      </c>
      <c r="C309" s="23" t="s">
        <v>191</v>
      </c>
      <c r="D309" s="23" t="s">
        <v>747</v>
      </c>
      <c r="E309" s="24">
        <v>650</v>
      </c>
      <c r="F309" s="24"/>
      <c r="G309" s="24"/>
      <c r="H309" s="24"/>
      <c r="I309" s="24"/>
      <c r="J309" s="24">
        <f t="shared" si="9"/>
        <v>650</v>
      </c>
      <c r="K309" s="24">
        <f t="shared" si="10"/>
        <v>0</v>
      </c>
    </row>
    <row r="310" spans="1:11">
      <c r="A310" s="35"/>
      <c r="B310" s="24">
        <v>38</v>
      </c>
      <c r="C310" s="23" t="s">
        <v>93</v>
      </c>
      <c r="D310" s="23" t="s">
        <v>746</v>
      </c>
      <c r="E310" s="24">
        <v>200</v>
      </c>
      <c r="F310" s="24"/>
      <c r="G310" s="24"/>
      <c r="H310" s="24"/>
      <c r="I310" s="24"/>
      <c r="J310" s="24">
        <f t="shared" si="9"/>
        <v>200</v>
      </c>
      <c r="K310" s="24">
        <f t="shared" si="10"/>
        <v>450</v>
      </c>
    </row>
    <row r="311" spans="1:11">
      <c r="A311" s="35"/>
      <c r="B311" s="24">
        <v>39</v>
      </c>
      <c r="C311" s="23" t="s">
        <v>190</v>
      </c>
      <c r="D311" s="23" t="s">
        <v>746</v>
      </c>
      <c r="E311" s="24">
        <v>200</v>
      </c>
      <c r="F311" s="24"/>
      <c r="G311" s="24"/>
      <c r="H311" s="24"/>
      <c r="I311" s="24"/>
      <c r="J311" s="24">
        <f t="shared" si="9"/>
        <v>200</v>
      </c>
      <c r="K311" s="24">
        <f t="shared" si="10"/>
        <v>450</v>
      </c>
    </row>
    <row r="312" spans="1:11">
      <c r="A312" s="35"/>
      <c r="B312" s="24">
        <v>40</v>
      </c>
      <c r="C312" s="23" t="s">
        <v>97</v>
      </c>
      <c r="D312" s="23" t="s">
        <v>746</v>
      </c>
      <c r="E312" s="24">
        <v>200</v>
      </c>
      <c r="F312" s="24">
        <v>300</v>
      </c>
      <c r="G312" s="24"/>
      <c r="H312" s="24"/>
      <c r="I312" s="24"/>
      <c r="J312" s="24">
        <f t="shared" si="9"/>
        <v>500</v>
      </c>
      <c r="K312" s="24">
        <f t="shared" si="10"/>
        <v>150</v>
      </c>
    </row>
    <row r="313" spans="1:11">
      <c r="A313" s="35"/>
      <c r="B313" s="24">
        <v>41</v>
      </c>
      <c r="C313" s="23" t="s">
        <v>666</v>
      </c>
      <c r="D313" s="23" t="s">
        <v>746</v>
      </c>
      <c r="E313" s="24"/>
      <c r="F313" s="24"/>
      <c r="G313" s="24"/>
      <c r="H313" s="24"/>
      <c r="I313" s="24"/>
      <c r="J313" s="24" t="str">
        <f t="shared" si="9"/>
        <v/>
      </c>
      <c r="K313" s="24">
        <f t="shared" si="10"/>
        <v>650</v>
      </c>
    </row>
    <row r="314" spans="1:11">
      <c r="A314" s="35"/>
      <c r="B314" s="24">
        <v>42</v>
      </c>
      <c r="C314" s="23" t="s">
        <v>212</v>
      </c>
      <c r="D314" s="23" t="s">
        <v>746</v>
      </c>
      <c r="E314" s="24">
        <v>650</v>
      </c>
      <c r="F314" s="24"/>
      <c r="G314" s="24"/>
      <c r="H314" s="24"/>
      <c r="I314" s="24"/>
      <c r="J314" s="24">
        <f t="shared" si="9"/>
        <v>650</v>
      </c>
      <c r="K314" s="24">
        <f t="shared" si="10"/>
        <v>0</v>
      </c>
    </row>
    <row r="315" spans="1:11">
      <c r="A315" s="35"/>
      <c r="B315" s="24">
        <v>43</v>
      </c>
      <c r="C315" s="23" t="s">
        <v>106</v>
      </c>
      <c r="D315" s="23" t="s">
        <v>747</v>
      </c>
      <c r="E315" s="24">
        <v>650</v>
      </c>
      <c r="F315" s="24"/>
      <c r="G315" s="24"/>
      <c r="H315" s="24"/>
      <c r="I315" s="24"/>
      <c r="J315" s="24">
        <f t="shared" si="9"/>
        <v>650</v>
      </c>
      <c r="K315" s="24">
        <f t="shared" si="10"/>
        <v>0</v>
      </c>
    </row>
    <row r="316" spans="1:11">
      <c r="A316" s="35"/>
      <c r="B316" s="24">
        <v>44</v>
      </c>
      <c r="C316" s="23" t="s">
        <v>722</v>
      </c>
      <c r="D316" s="23" t="s">
        <v>747</v>
      </c>
      <c r="E316" s="24">
        <v>500</v>
      </c>
      <c r="F316" s="24"/>
      <c r="G316" s="24"/>
      <c r="H316" s="24"/>
      <c r="I316" s="24"/>
      <c r="J316" s="24">
        <f t="shared" si="9"/>
        <v>500</v>
      </c>
      <c r="K316" s="24">
        <f t="shared" si="10"/>
        <v>150</v>
      </c>
    </row>
    <row r="317" spans="1:11">
      <c r="A317" s="35"/>
      <c r="B317" s="24">
        <v>45</v>
      </c>
      <c r="C317" s="23" t="s">
        <v>721</v>
      </c>
      <c r="D317" s="23" t="s">
        <v>747</v>
      </c>
      <c r="E317" s="24">
        <v>500</v>
      </c>
      <c r="F317" s="24"/>
      <c r="G317" s="24"/>
      <c r="H317" s="24"/>
      <c r="I317" s="24"/>
      <c r="J317" s="24">
        <f t="shared" si="9"/>
        <v>500</v>
      </c>
      <c r="K317" s="24">
        <f t="shared" si="10"/>
        <v>150</v>
      </c>
    </row>
    <row r="318" spans="1:11">
      <c r="A318" s="35"/>
      <c r="B318" s="24">
        <v>46</v>
      </c>
      <c r="C318" s="23" t="s">
        <v>720</v>
      </c>
      <c r="D318" s="23" t="s">
        <v>747</v>
      </c>
      <c r="E318" s="24"/>
      <c r="F318" s="24"/>
      <c r="G318" s="24"/>
      <c r="H318" s="24"/>
      <c r="I318" s="24"/>
      <c r="J318" s="24" t="str">
        <f t="shared" si="9"/>
        <v/>
      </c>
      <c r="K318" s="24">
        <f t="shared" si="10"/>
        <v>650</v>
      </c>
    </row>
    <row r="319" spans="1:11">
      <c r="A319" s="35"/>
      <c r="B319" s="24">
        <v>47</v>
      </c>
      <c r="C319" s="23" t="s">
        <v>616</v>
      </c>
      <c r="D319" s="23" t="s">
        <v>747</v>
      </c>
      <c r="E319" s="24"/>
      <c r="F319" s="24"/>
      <c r="G319" s="24"/>
      <c r="H319" s="24"/>
      <c r="I319" s="24"/>
      <c r="J319" s="24" t="str">
        <f t="shared" si="9"/>
        <v/>
      </c>
      <c r="K319" s="24">
        <f t="shared" si="10"/>
        <v>650</v>
      </c>
    </row>
    <row r="320" spans="1:11">
      <c r="A320" s="35"/>
      <c r="B320" s="24">
        <v>48</v>
      </c>
      <c r="C320" s="23" t="s">
        <v>618</v>
      </c>
      <c r="D320" s="23" t="s">
        <v>747</v>
      </c>
      <c r="E320" s="24"/>
      <c r="F320" s="24"/>
      <c r="G320" s="24"/>
      <c r="H320" s="24"/>
      <c r="I320" s="24"/>
      <c r="J320" s="24" t="str">
        <f t="shared" si="9"/>
        <v/>
      </c>
      <c r="K320" s="24">
        <f t="shared" si="10"/>
        <v>650</v>
      </c>
    </row>
    <row r="321" spans="1:11">
      <c r="A321" s="35"/>
      <c r="B321" s="24">
        <v>49</v>
      </c>
      <c r="C321" s="23" t="s">
        <v>95</v>
      </c>
      <c r="D321" s="23" t="s">
        <v>746</v>
      </c>
      <c r="E321" s="24">
        <v>650</v>
      </c>
      <c r="F321" s="24"/>
      <c r="G321" s="24"/>
      <c r="H321" s="24"/>
      <c r="I321" s="24"/>
      <c r="J321" s="24">
        <f t="shared" si="9"/>
        <v>650</v>
      </c>
      <c r="K321" s="24">
        <f t="shared" si="10"/>
        <v>0</v>
      </c>
    </row>
    <row r="322" spans="1:11">
      <c r="A322" s="35"/>
      <c r="B322" s="24">
        <v>50</v>
      </c>
      <c r="C322" s="23" t="s">
        <v>107</v>
      </c>
      <c r="D322" s="23" t="s">
        <v>747</v>
      </c>
      <c r="E322" s="24">
        <v>100</v>
      </c>
      <c r="F322" s="24"/>
      <c r="G322" s="24"/>
      <c r="H322" s="24"/>
      <c r="I322" s="24"/>
      <c r="J322" s="24">
        <f t="shared" si="9"/>
        <v>100</v>
      </c>
      <c r="K322" s="24">
        <f t="shared" si="10"/>
        <v>550</v>
      </c>
    </row>
    <row r="323" spans="1:11">
      <c r="A323" s="35"/>
      <c r="B323" s="24">
        <v>51</v>
      </c>
      <c r="C323" s="23"/>
      <c r="D323" s="23"/>
      <c r="E323" s="24"/>
      <c r="F323" s="24"/>
      <c r="G323" s="24"/>
      <c r="H323" s="24"/>
      <c r="I323" s="24"/>
      <c r="J323" s="24" t="str">
        <f t="shared" si="9"/>
        <v/>
      </c>
      <c r="K323" s="24">
        <f t="shared" si="10"/>
        <v>650</v>
      </c>
    </row>
    <row r="324" spans="1:11">
      <c r="A324" s="35"/>
      <c r="B324" s="24">
        <v>52</v>
      </c>
      <c r="C324" s="23"/>
      <c r="D324" s="23"/>
      <c r="E324" s="24"/>
      <c r="F324" s="24"/>
      <c r="G324" s="24"/>
      <c r="H324" s="24"/>
      <c r="I324" s="24"/>
      <c r="J324" s="24" t="str">
        <f t="shared" si="9"/>
        <v/>
      </c>
      <c r="K324" s="24">
        <f t="shared" si="10"/>
        <v>650</v>
      </c>
    </row>
    <row r="325" spans="1:11">
      <c r="A325" s="35"/>
      <c r="B325" s="24">
        <v>53</v>
      </c>
      <c r="C325" s="23"/>
      <c r="D325" s="23"/>
      <c r="E325" s="24"/>
      <c r="F325" s="24"/>
      <c r="G325" s="24"/>
      <c r="H325" s="24"/>
      <c r="I325" s="24"/>
      <c r="J325" s="24" t="str">
        <f t="shared" si="9"/>
        <v/>
      </c>
      <c r="K325" s="24">
        <f t="shared" si="10"/>
        <v>650</v>
      </c>
    </row>
    <row r="326" spans="1:11">
      <c r="A326" s="35"/>
      <c r="B326" s="24">
        <v>54</v>
      </c>
      <c r="C326" s="23"/>
      <c r="D326" s="23"/>
      <c r="E326" s="24"/>
      <c r="F326" s="24"/>
      <c r="G326" s="24"/>
      <c r="H326" s="24"/>
      <c r="I326" s="24"/>
      <c r="J326" s="24" t="str">
        <f t="shared" si="9"/>
        <v/>
      </c>
      <c r="K326" s="24">
        <f t="shared" si="10"/>
        <v>650</v>
      </c>
    </row>
    <row r="327" spans="1:11">
      <c r="A327" s="35"/>
      <c r="B327" s="24">
        <v>55</v>
      </c>
      <c r="C327" s="23"/>
      <c r="D327" s="23"/>
      <c r="E327" s="24"/>
      <c r="F327" s="24"/>
      <c r="G327" s="24"/>
      <c r="H327" s="24"/>
      <c r="I327" s="24"/>
      <c r="J327" s="24" t="str">
        <f t="shared" si="9"/>
        <v/>
      </c>
      <c r="K327" s="24">
        <f t="shared" si="10"/>
        <v>650</v>
      </c>
    </row>
    <row r="328" spans="1:11">
      <c r="A328" s="35"/>
      <c r="B328" s="24">
        <v>56</v>
      </c>
      <c r="C328" s="23"/>
      <c r="D328" s="23"/>
      <c r="E328" s="24"/>
      <c r="F328" s="24"/>
      <c r="G328" s="24"/>
      <c r="H328" s="24"/>
      <c r="I328" s="24"/>
      <c r="J328" s="24" t="str">
        <f t="shared" si="9"/>
        <v/>
      </c>
      <c r="K328" s="24">
        <f t="shared" si="10"/>
        <v>650</v>
      </c>
    </row>
    <row r="329" spans="1:11">
      <c r="A329" s="35"/>
      <c r="B329" s="24">
        <v>57</v>
      </c>
      <c r="C329" s="23"/>
      <c r="D329" s="23"/>
      <c r="E329" s="24"/>
      <c r="F329" s="24"/>
      <c r="G329" s="24"/>
      <c r="H329" s="24"/>
      <c r="I329" s="24"/>
      <c r="J329" s="24" t="str">
        <f t="shared" si="9"/>
        <v/>
      </c>
      <c r="K329" s="24">
        <f t="shared" si="10"/>
        <v>650</v>
      </c>
    </row>
    <row r="330" spans="1:11">
      <c r="A330" s="35"/>
      <c r="B330" s="24">
        <v>58</v>
      </c>
      <c r="C330" s="23"/>
      <c r="D330" s="23"/>
      <c r="E330" s="24"/>
      <c r="F330" s="24"/>
      <c r="G330" s="24"/>
      <c r="H330" s="24"/>
      <c r="I330" s="24"/>
      <c r="J330" s="24" t="str">
        <f t="shared" si="9"/>
        <v/>
      </c>
      <c r="K330" s="24">
        <f t="shared" si="10"/>
        <v>650</v>
      </c>
    </row>
    <row r="331" spans="1:11">
      <c r="A331" s="35"/>
      <c r="B331" s="24">
        <v>59</v>
      </c>
      <c r="C331" s="23"/>
      <c r="D331" s="23"/>
      <c r="E331" s="24"/>
      <c r="F331" s="24"/>
      <c r="G331" s="24"/>
      <c r="H331" s="24"/>
      <c r="I331" s="24"/>
      <c r="J331" s="24" t="str">
        <f t="shared" si="9"/>
        <v/>
      </c>
      <c r="K331" s="24">
        <f t="shared" si="10"/>
        <v>650</v>
      </c>
    </row>
    <row r="332" spans="1:11">
      <c r="A332" s="35"/>
      <c r="B332" s="24">
        <v>60</v>
      </c>
      <c r="C332" s="23"/>
      <c r="D332" s="23"/>
      <c r="E332" s="24"/>
      <c r="F332" s="24"/>
      <c r="G332" s="24"/>
      <c r="H332" s="24"/>
      <c r="I332" s="24"/>
      <c r="J332" s="24" t="str">
        <f t="shared" si="9"/>
        <v/>
      </c>
      <c r="K332" s="24">
        <f t="shared" si="10"/>
        <v>650</v>
      </c>
    </row>
    <row r="333" spans="1:11">
      <c r="A333" s="35"/>
      <c r="B333" s="34"/>
      <c r="C333" s="34"/>
      <c r="D333" s="34"/>
      <c r="E333" s="34"/>
      <c r="F333" s="34"/>
      <c r="G333" s="34"/>
      <c r="H333" s="34"/>
      <c r="I333" s="33" t="s">
        <v>31</v>
      </c>
      <c r="J333" s="33"/>
      <c r="K333" s="24">
        <f>SUM(K273:K332)</f>
        <v>22360</v>
      </c>
    </row>
    <row r="334" spans="1:11">
      <c r="I334" s="27"/>
      <c r="J334" s="27"/>
      <c r="K334" s="24"/>
    </row>
    <row r="335" spans="1:11">
      <c r="I335" s="27"/>
      <c r="J335" s="27"/>
      <c r="K335" s="24"/>
    </row>
    <row r="337" spans="1:11">
      <c r="A337" s="23">
        <v>6</v>
      </c>
      <c r="B337" s="23" t="s">
        <v>0</v>
      </c>
      <c r="C337" s="28" t="str">
        <f>IF('Navigation and Summary'!$B$14="", "", 'Navigation and Summary'!$B$14)</f>
        <v>BASIC 1A</v>
      </c>
      <c r="D337" s="28"/>
      <c r="E337" s="23" t="s">
        <v>37</v>
      </c>
      <c r="F337" s="24">
        <f>IF('Navigation and Summary'!$C$14="", "", 'Navigation and Summary'!$C$14)</f>
        <v>710</v>
      </c>
      <c r="G337" s="23" t="s">
        <v>34</v>
      </c>
      <c r="H337" s="24" t="str">
        <f>IF(C337="", "", 'Navigation and Summary'!$G$6)</f>
        <v>2025-26</v>
      </c>
    </row>
    <row r="338" spans="1:11">
      <c r="A338" s="35"/>
      <c r="B338" s="35" t="s">
        <v>32</v>
      </c>
      <c r="C338" s="35"/>
      <c r="D338" s="35"/>
      <c r="E338" s="35"/>
      <c r="F338" s="35"/>
      <c r="G338" s="35"/>
      <c r="H338" s="35"/>
      <c r="I338" s="23"/>
      <c r="J338" s="23"/>
      <c r="K338" s="23"/>
    </row>
    <row r="339" spans="1:11" ht="28.5">
      <c r="A339" s="35"/>
      <c r="B339" s="25" t="s">
        <v>1</v>
      </c>
      <c r="C339" s="25" t="s">
        <v>2</v>
      </c>
      <c r="D339" s="25" t="s">
        <v>745</v>
      </c>
      <c r="E339" s="25" t="s">
        <v>3</v>
      </c>
      <c r="F339" s="25" t="s">
        <v>4</v>
      </c>
      <c r="G339" s="25" t="s">
        <v>5</v>
      </c>
      <c r="H339" s="25" t="s">
        <v>6</v>
      </c>
      <c r="I339" s="25" t="s">
        <v>7</v>
      </c>
      <c r="J339" s="25" t="s">
        <v>8</v>
      </c>
      <c r="K339" s="25" t="s">
        <v>9</v>
      </c>
    </row>
    <row r="340" spans="1:11">
      <c r="A340" s="35"/>
      <c r="B340" s="24">
        <v>1</v>
      </c>
      <c r="C340" s="23" t="s">
        <v>203</v>
      </c>
      <c r="D340" s="23" t="s">
        <v>746</v>
      </c>
      <c r="E340" s="24">
        <v>300</v>
      </c>
      <c r="F340" s="24"/>
      <c r="G340" s="24"/>
      <c r="H340" s="24"/>
      <c r="I340" s="24"/>
      <c r="J340" s="24">
        <f>IF(SUM(E340:I340)=0, "", SUM(E340:I340))</f>
        <v>300</v>
      </c>
      <c r="K340" s="24">
        <f xml:space="preserve"> IFERROR(IF(($F$337-J340)=0, 0, ($F$337-J340)),$F$337)</f>
        <v>410</v>
      </c>
    </row>
    <row r="341" spans="1:11">
      <c r="A341" s="35"/>
      <c r="B341" s="24">
        <v>2</v>
      </c>
      <c r="C341" s="23" t="s">
        <v>150</v>
      </c>
      <c r="D341" s="23" t="s">
        <v>747</v>
      </c>
      <c r="E341" s="24">
        <v>300</v>
      </c>
      <c r="F341" s="24"/>
      <c r="G341" s="24"/>
      <c r="H341" s="24"/>
      <c r="I341" s="24"/>
      <c r="J341" s="24">
        <f t="shared" ref="J341:J399" si="11">IF(SUM(E341:I341)=0, "", SUM(E341:I341))</f>
        <v>300</v>
      </c>
      <c r="K341" s="24">
        <f xml:space="preserve"> IFERROR(IF(($F$337-J341)=0, 0, ($F$337-J341)),$F$337)</f>
        <v>410</v>
      </c>
    </row>
    <row r="342" spans="1:11">
      <c r="A342" s="35"/>
      <c r="B342" s="24">
        <v>3</v>
      </c>
      <c r="C342" s="23" t="s">
        <v>151</v>
      </c>
      <c r="D342" s="23" t="s">
        <v>747</v>
      </c>
      <c r="E342" s="24">
        <v>600</v>
      </c>
      <c r="F342" s="24"/>
      <c r="G342" s="24"/>
      <c r="H342" s="24"/>
      <c r="I342" s="24"/>
      <c r="J342" s="24">
        <f t="shared" si="11"/>
        <v>600</v>
      </c>
      <c r="K342" s="24">
        <f t="shared" ref="K342:K399" si="12" xml:space="preserve"> IFERROR(IF(($F$337-J342)=0, 0, ($F$337-J342)),$F$337)</f>
        <v>110</v>
      </c>
    </row>
    <row r="343" spans="1:11">
      <c r="A343" s="35"/>
      <c r="B343" s="24">
        <v>4</v>
      </c>
      <c r="C343" s="23" t="s">
        <v>152</v>
      </c>
      <c r="D343" s="23" t="s">
        <v>747</v>
      </c>
      <c r="E343" s="24">
        <v>110</v>
      </c>
      <c r="F343" s="24"/>
      <c r="G343" s="24"/>
      <c r="H343" s="24"/>
      <c r="I343" s="24"/>
      <c r="J343" s="24">
        <f t="shared" si="11"/>
        <v>110</v>
      </c>
      <c r="K343" s="24">
        <f t="shared" si="12"/>
        <v>600</v>
      </c>
    </row>
    <row r="344" spans="1:11">
      <c r="A344" s="35"/>
      <c r="B344" s="24">
        <v>5</v>
      </c>
      <c r="C344" s="23" t="s">
        <v>639</v>
      </c>
      <c r="D344" s="23" t="s">
        <v>747</v>
      </c>
      <c r="E344" s="24">
        <v>710</v>
      </c>
      <c r="F344" s="24"/>
      <c r="G344" s="24"/>
      <c r="H344" s="24"/>
      <c r="I344" s="24"/>
      <c r="J344" s="24">
        <f t="shared" si="11"/>
        <v>710</v>
      </c>
      <c r="K344" s="24">
        <f t="shared" si="12"/>
        <v>0</v>
      </c>
    </row>
    <row r="345" spans="1:11">
      <c r="A345" s="35"/>
      <c r="B345" s="24">
        <v>6</v>
      </c>
      <c r="C345" s="23" t="s">
        <v>167</v>
      </c>
      <c r="D345" s="23" t="s">
        <v>746</v>
      </c>
      <c r="E345" s="24">
        <v>250</v>
      </c>
      <c r="F345" s="24"/>
      <c r="G345" s="24"/>
      <c r="H345" s="24"/>
      <c r="I345" s="24"/>
      <c r="J345" s="24">
        <f t="shared" si="11"/>
        <v>250</v>
      </c>
      <c r="K345" s="24">
        <f t="shared" si="12"/>
        <v>460</v>
      </c>
    </row>
    <row r="346" spans="1:11">
      <c r="A346" s="35"/>
      <c r="B346" s="24">
        <v>7</v>
      </c>
      <c r="C346" s="23" t="s">
        <v>695</v>
      </c>
      <c r="D346" s="23" t="s">
        <v>746</v>
      </c>
      <c r="E346" s="24">
        <v>710</v>
      </c>
      <c r="F346" s="24"/>
      <c r="G346" s="24"/>
      <c r="H346" s="24"/>
      <c r="I346" s="24"/>
      <c r="J346" s="24">
        <f t="shared" si="11"/>
        <v>710</v>
      </c>
      <c r="K346" s="24">
        <f t="shared" si="12"/>
        <v>0</v>
      </c>
    </row>
    <row r="347" spans="1:11">
      <c r="A347" s="35"/>
      <c r="B347" s="24">
        <v>8</v>
      </c>
      <c r="C347" s="23" t="s">
        <v>154</v>
      </c>
      <c r="D347" s="23" t="s">
        <v>747</v>
      </c>
      <c r="E347" s="24">
        <v>250</v>
      </c>
      <c r="F347" s="24"/>
      <c r="G347" s="24"/>
      <c r="H347" s="24"/>
      <c r="I347" s="24"/>
      <c r="J347" s="24">
        <f t="shared" si="11"/>
        <v>250</v>
      </c>
      <c r="K347" s="24">
        <f t="shared" si="12"/>
        <v>460</v>
      </c>
    </row>
    <row r="348" spans="1:11">
      <c r="A348" s="35"/>
      <c r="B348" s="24">
        <v>9</v>
      </c>
      <c r="C348" s="23" t="s">
        <v>228</v>
      </c>
      <c r="D348" s="23" t="s">
        <v>747</v>
      </c>
      <c r="E348" s="24">
        <v>300</v>
      </c>
      <c r="F348" s="24"/>
      <c r="G348" s="24"/>
      <c r="H348" s="24"/>
      <c r="I348" s="24"/>
      <c r="J348" s="24">
        <f t="shared" si="11"/>
        <v>300</v>
      </c>
      <c r="K348" s="24">
        <f t="shared" si="12"/>
        <v>410</v>
      </c>
    </row>
    <row r="349" spans="1:11">
      <c r="A349" s="35"/>
      <c r="B349" s="24">
        <v>10</v>
      </c>
      <c r="C349" s="23" t="s">
        <v>231</v>
      </c>
      <c r="D349" s="23" t="s">
        <v>747</v>
      </c>
      <c r="E349" s="24">
        <v>710</v>
      </c>
      <c r="F349" s="24"/>
      <c r="G349" s="24"/>
      <c r="H349" s="24"/>
      <c r="I349" s="24"/>
      <c r="J349" s="24">
        <f t="shared" si="11"/>
        <v>710</v>
      </c>
      <c r="K349" s="24">
        <f t="shared" si="12"/>
        <v>0</v>
      </c>
    </row>
    <row r="350" spans="1:11">
      <c r="A350" s="35"/>
      <c r="B350" s="24">
        <v>11</v>
      </c>
      <c r="C350" s="23" t="s">
        <v>157</v>
      </c>
      <c r="D350" s="23" t="s">
        <v>747</v>
      </c>
      <c r="E350" s="24">
        <v>400</v>
      </c>
      <c r="F350" s="24">
        <v>310</v>
      </c>
      <c r="G350" s="24"/>
      <c r="H350" s="24"/>
      <c r="I350" s="24"/>
      <c r="J350" s="24">
        <f t="shared" si="11"/>
        <v>710</v>
      </c>
      <c r="K350" s="24">
        <f t="shared" si="12"/>
        <v>0</v>
      </c>
    </row>
    <row r="351" spans="1:11">
      <c r="A351" s="35"/>
      <c r="B351" s="24">
        <v>12</v>
      </c>
      <c r="C351" s="23" t="s">
        <v>168</v>
      </c>
      <c r="D351" s="23" t="s">
        <v>746</v>
      </c>
      <c r="E351" s="24">
        <v>710</v>
      </c>
      <c r="F351" s="24"/>
      <c r="G351" s="24"/>
      <c r="H351" s="24"/>
      <c r="I351" s="24"/>
      <c r="J351" s="24">
        <f t="shared" si="11"/>
        <v>710</v>
      </c>
      <c r="K351" s="24">
        <f t="shared" si="12"/>
        <v>0</v>
      </c>
    </row>
    <row r="352" spans="1:11">
      <c r="A352" s="35"/>
      <c r="B352" s="24">
        <v>13</v>
      </c>
      <c r="C352" s="23" t="s">
        <v>169</v>
      </c>
      <c r="D352" s="23" t="s">
        <v>746</v>
      </c>
      <c r="E352" s="24">
        <v>200</v>
      </c>
      <c r="F352" s="24"/>
      <c r="G352" s="24"/>
      <c r="H352" s="24"/>
      <c r="I352" s="24"/>
      <c r="J352" s="24">
        <f t="shared" si="11"/>
        <v>200</v>
      </c>
      <c r="K352" s="24">
        <f t="shared" si="12"/>
        <v>510</v>
      </c>
    </row>
    <row r="353" spans="1:11">
      <c r="A353" s="35"/>
      <c r="B353" s="24">
        <v>14</v>
      </c>
      <c r="C353" s="23" t="s">
        <v>671</v>
      </c>
      <c r="D353" s="23" t="s">
        <v>746</v>
      </c>
      <c r="E353" s="24">
        <v>710</v>
      </c>
      <c r="F353" s="24"/>
      <c r="G353" s="24"/>
      <c r="H353" s="24"/>
      <c r="I353" s="24"/>
      <c r="J353" s="24">
        <f t="shared" si="11"/>
        <v>710</v>
      </c>
      <c r="K353" s="24">
        <f t="shared" si="12"/>
        <v>0</v>
      </c>
    </row>
    <row r="354" spans="1:11">
      <c r="A354" s="35"/>
      <c r="B354" s="24">
        <v>15</v>
      </c>
      <c r="C354" s="23" t="s">
        <v>215</v>
      </c>
      <c r="D354" s="23" t="s">
        <v>746</v>
      </c>
      <c r="E354" s="24"/>
      <c r="F354" s="24"/>
      <c r="G354" s="24"/>
      <c r="H354" s="24"/>
      <c r="I354" s="24"/>
      <c r="J354" s="24" t="str">
        <f t="shared" si="11"/>
        <v/>
      </c>
      <c r="K354" s="24">
        <f t="shared" si="12"/>
        <v>710</v>
      </c>
    </row>
    <row r="355" spans="1:11">
      <c r="A355" s="35"/>
      <c r="B355" s="24">
        <v>16</v>
      </c>
      <c r="C355" s="23" t="s">
        <v>159</v>
      </c>
      <c r="D355" s="23" t="s">
        <v>747</v>
      </c>
      <c r="E355" s="24">
        <v>200</v>
      </c>
      <c r="F355" s="24"/>
      <c r="G355" s="24"/>
      <c r="H355" s="24"/>
      <c r="I355" s="24"/>
      <c r="J355" s="24">
        <f t="shared" si="11"/>
        <v>200</v>
      </c>
      <c r="K355" s="24">
        <f t="shared" si="12"/>
        <v>510</v>
      </c>
    </row>
    <row r="356" spans="1:11">
      <c r="A356" s="35"/>
      <c r="B356" s="24">
        <v>17</v>
      </c>
      <c r="C356" s="23" t="s">
        <v>227</v>
      </c>
      <c r="D356" s="23" t="s">
        <v>746</v>
      </c>
      <c r="E356" s="24">
        <v>250</v>
      </c>
      <c r="F356" s="24"/>
      <c r="G356" s="24"/>
      <c r="H356" s="24"/>
      <c r="I356" s="24"/>
      <c r="J356" s="24">
        <f t="shared" si="11"/>
        <v>250</v>
      </c>
      <c r="K356" s="24">
        <f t="shared" si="12"/>
        <v>460</v>
      </c>
    </row>
    <row r="357" spans="1:11">
      <c r="A357" s="35"/>
      <c r="B357" s="24">
        <v>18</v>
      </c>
      <c r="C357" s="23" t="s">
        <v>229</v>
      </c>
      <c r="D357" s="23" t="s">
        <v>747</v>
      </c>
      <c r="E357" s="24">
        <v>710</v>
      </c>
      <c r="F357" s="24"/>
      <c r="G357" s="24"/>
      <c r="H357" s="24"/>
      <c r="I357" s="24"/>
      <c r="J357" s="24">
        <f t="shared" si="11"/>
        <v>710</v>
      </c>
      <c r="K357" s="24">
        <f t="shared" si="12"/>
        <v>0</v>
      </c>
    </row>
    <row r="358" spans="1:11">
      <c r="A358" s="35"/>
      <c r="B358" s="24">
        <v>19</v>
      </c>
      <c r="C358" s="23" t="s">
        <v>166</v>
      </c>
      <c r="D358" s="23" t="s">
        <v>746</v>
      </c>
      <c r="E358" s="24">
        <v>410</v>
      </c>
      <c r="F358" s="24"/>
      <c r="G358" s="24"/>
      <c r="H358" s="24"/>
      <c r="I358" s="24"/>
      <c r="J358" s="24">
        <f t="shared" si="11"/>
        <v>410</v>
      </c>
      <c r="K358" s="24">
        <f t="shared" si="12"/>
        <v>300</v>
      </c>
    </row>
    <row r="359" spans="1:11">
      <c r="A359" s="35"/>
      <c r="B359" s="24">
        <v>20</v>
      </c>
      <c r="C359" s="23" t="s">
        <v>670</v>
      </c>
      <c r="D359" s="23" t="s">
        <v>746</v>
      </c>
      <c r="E359" s="24"/>
      <c r="F359" s="24"/>
      <c r="G359" s="24"/>
      <c r="H359" s="24"/>
      <c r="I359" s="24"/>
      <c r="J359" s="24" t="str">
        <f t="shared" si="11"/>
        <v/>
      </c>
      <c r="K359" s="24">
        <f t="shared" si="12"/>
        <v>710</v>
      </c>
    </row>
    <row r="360" spans="1:11">
      <c r="A360" s="35"/>
      <c r="B360" s="24">
        <v>21</v>
      </c>
      <c r="C360" s="23" t="s">
        <v>230</v>
      </c>
      <c r="D360" s="23" t="s">
        <v>747</v>
      </c>
      <c r="E360" s="24">
        <v>150</v>
      </c>
      <c r="F360" s="24"/>
      <c r="G360" s="24"/>
      <c r="H360" s="24"/>
      <c r="I360" s="24"/>
      <c r="J360" s="24">
        <f t="shared" si="11"/>
        <v>150</v>
      </c>
      <c r="K360" s="24">
        <f t="shared" si="12"/>
        <v>560</v>
      </c>
    </row>
    <row r="361" spans="1:11">
      <c r="A361" s="35"/>
      <c r="B361" s="24">
        <v>22</v>
      </c>
      <c r="C361" s="23" t="s">
        <v>172</v>
      </c>
      <c r="D361" s="23" t="s">
        <v>746</v>
      </c>
      <c r="E361" s="24">
        <v>300</v>
      </c>
      <c r="F361" s="24"/>
      <c r="G361" s="24"/>
      <c r="H361" s="24"/>
      <c r="I361" s="24"/>
      <c r="J361" s="24">
        <f t="shared" si="11"/>
        <v>300</v>
      </c>
      <c r="K361" s="24">
        <f t="shared" si="12"/>
        <v>410</v>
      </c>
    </row>
    <row r="362" spans="1:11">
      <c r="A362" s="35"/>
      <c r="B362" s="24">
        <v>23</v>
      </c>
      <c r="C362" s="23" t="s">
        <v>164</v>
      </c>
      <c r="D362" s="23" t="s">
        <v>747</v>
      </c>
      <c r="E362" s="24">
        <v>300</v>
      </c>
      <c r="F362" s="24"/>
      <c r="G362" s="24"/>
      <c r="H362" s="24"/>
      <c r="I362" s="24"/>
      <c r="J362" s="24">
        <f t="shared" si="11"/>
        <v>300</v>
      </c>
      <c r="K362" s="24">
        <f t="shared" si="12"/>
        <v>410</v>
      </c>
    </row>
    <row r="363" spans="1:11">
      <c r="A363" s="35"/>
      <c r="B363" s="24">
        <v>24</v>
      </c>
      <c r="C363" s="23" t="s">
        <v>165</v>
      </c>
      <c r="D363" s="23" t="s">
        <v>747</v>
      </c>
      <c r="E363" s="24"/>
      <c r="F363" s="24"/>
      <c r="G363" s="24"/>
      <c r="H363" s="24"/>
      <c r="I363" s="24"/>
      <c r="J363" s="24" t="str">
        <f t="shared" si="11"/>
        <v/>
      </c>
      <c r="K363" s="24">
        <f t="shared" si="12"/>
        <v>710</v>
      </c>
    </row>
    <row r="364" spans="1:11">
      <c r="A364" s="35"/>
      <c r="B364" s="24">
        <v>25</v>
      </c>
      <c r="C364" s="23" t="s">
        <v>736</v>
      </c>
      <c r="D364" s="23" t="s">
        <v>746</v>
      </c>
      <c r="E364" s="24">
        <v>710</v>
      </c>
      <c r="F364" s="24"/>
      <c r="G364" s="24"/>
      <c r="H364" s="24"/>
      <c r="I364" s="24"/>
      <c r="J364" s="24">
        <f t="shared" si="11"/>
        <v>710</v>
      </c>
      <c r="K364" s="24">
        <f t="shared" si="12"/>
        <v>0</v>
      </c>
    </row>
    <row r="365" spans="1:11">
      <c r="A365" s="35"/>
      <c r="B365" s="24">
        <v>26</v>
      </c>
      <c r="C365" s="23"/>
      <c r="D365" s="23"/>
      <c r="E365" s="24"/>
      <c r="F365" s="24"/>
      <c r="G365" s="24"/>
      <c r="H365" s="24"/>
      <c r="I365" s="24"/>
      <c r="J365" s="24" t="str">
        <f t="shared" si="11"/>
        <v/>
      </c>
      <c r="K365" s="24">
        <f t="shared" si="12"/>
        <v>710</v>
      </c>
    </row>
    <row r="366" spans="1:11">
      <c r="A366" s="35"/>
      <c r="B366" s="24">
        <v>27</v>
      </c>
      <c r="C366" s="23"/>
      <c r="D366" s="23"/>
      <c r="E366" s="24"/>
      <c r="F366" s="24"/>
      <c r="G366" s="24"/>
      <c r="H366" s="24"/>
      <c r="I366" s="24"/>
      <c r="J366" s="24" t="str">
        <f t="shared" si="11"/>
        <v/>
      </c>
      <c r="K366" s="24">
        <f t="shared" si="12"/>
        <v>710</v>
      </c>
    </row>
    <row r="367" spans="1:11">
      <c r="A367" s="35"/>
      <c r="B367" s="24">
        <v>28</v>
      </c>
      <c r="C367" s="23"/>
      <c r="D367" s="23"/>
      <c r="E367" s="24"/>
      <c r="F367" s="24"/>
      <c r="G367" s="24"/>
      <c r="H367" s="24"/>
      <c r="I367" s="24"/>
      <c r="J367" s="24" t="str">
        <f t="shared" si="11"/>
        <v/>
      </c>
      <c r="K367" s="24">
        <f t="shared" si="12"/>
        <v>710</v>
      </c>
    </row>
    <row r="368" spans="1:11">
      <c r="A368" s="35"/>
      <c r="B368" s="24">
        <v>29</v>
      </c>
      <c r="C368" s="23"/>
      <c r="D368" s="23"/>
      <c r="E368" s="24"/>
      <c r="F368" s="24"/>
      <c r="G368" s="24"/>
      <c r="H368" s="24"/>
      <c r="I368" s="24"/>
      <c r="J368" s="24" t="str">
        <f t="shared" si="11"/>
        <v/>
      </c>
      <c r="K368" s="24">
        <f t="shared" si="12"/>
        <v>710</v>
      </c>
    </row>
    <row r="369" spans="1:11">
      <c r="A369" s="35"/>
      <c r="B369" s="24">
        <v>30</v>
      </c>
      <c r="C369" s="23"/>
      <c r="D369" s="23"/>
      <c r="E369" s="24"/>
      <c r="F369" s="24"/>
      <c r="G369" s="24"/>
      <c r="H369" s="24"/>
      <c r="I369" s="24"/>
      <c r="J369" s="24" t="str">
        <f t="shared" si="11"/>
        <v/>
      </c>
      <c r="K369" s="24">
        <f t="shared" si="12"/>
        <v>710</v>
      </c>
    </row>
    <row r="370" spans="1:11">
      <c r="A370" s="35"/>
      <c r="B370" s="24">
        <v>31</v>
      </c>
      <c r="C370" s="23"/>
      <c r="D370" s="23"/>
      <c r="E370" s="24"/>
      <c r="F370" s="24"/>
      <c r="G370" s="24"/>
      <c r="H370" s="24"/>
      <c r="I370" s="24"/>
      <c r="J370" s="24" t="str">
        <f t="shared" si="11"/>
        <v/>
      </c>
      <c r="K370" s="24">
        <f t="shared" si="12"/>
        <v>710</v>
      </c>
    </row>
    <row r="371" spans="1:11">
      <c r="A371" s="35"/>
      <c r="B371" s="24">
        <v>32</v>
      </c>
      <c r="C371" s="23"/>
      <c r="D371" s="23"/>
      <c r="E371" s="24"/>
      <c r="F371" s="24"/>
      <c r="G371" s="24"/>
      <c r="H371" s="24"/>
      <c r="I371" s="24"/>
      <c r="J371" s="24" t="str">
        <f t="shared" si="11"/>
        <v/>
      </c>
      <c r="K371" s="24">
        <f t="shared" si="12"/>
        <v>710</v>
      </c>
    </row>
    <row r="372" spans="1:11">
      <c r="A372" s="35"/>
      <c r="B372" s="24">
        <v>33</v>
      </c>
      <c r="C372" s="23"/>
      <c r="D372" s="23"/>
      <c r="E372" s="24"/>
      <c r="F372" s="24"/>
      <c r="G372" s="24"/>
      <c r="H372" s="24"/>
      <c r="I372" s="24"/>
      <c r="J372" s="24" t="str">
        <f t="shared" si="11"/>
        <v/>
      </c>
      <c r="K372" s="24">
        <f t="shared" si="12"/>
        <v>710</v>
      </c>
    </row>
    <row r="373" spans="1:11">
      <c r="A373" s="35"/>
      <c r="B373" s="24">
        <v>34</v>
      </c>
      <c r="C373" s="23"/>
      <c r="D373" s="23"/>
      <c r="E373" s="24"/>
      <c r="F373" s="24"/>
      <c r="G373" s="24"/>
      <c r="H373" s="24"/>
      <c r="I373" s="24"/>
      <c r="J373" s="24" t="str">
        <f t="shared" si="11"/>
        <v/>
      </c>
      <c r="K373" s="24">
        <f t="shared" si="12"/>
        <v>710</v>
      </c>
    </row>
    <row r="374" spans="1:11">
      <c r="A374" s="35"/>
      <c r="B374" s="24">
        <v>35</v>
      </c>
      <c r="C374" s="23"/>
      <c r="D374" s="23"/>
      <c r="E374" s="24"/>
      <c r="F374" s="24"/>
      <c r="G374" s="24"/>
      <c r="H374" s="24"/>
      <c r="I374" s="24"/>
      <c r="J374" s="24" t="str">
        <f t="shared" si="11"/>
        <v/>
      </c>
      <c r="K374" s="24">
        <f t="shared" si="12"/>
        <v>710</v>
      </c>
    </row>
    <row r="375" spans="1:11">
      <c r="A375" s="35"/>
      <c r="B375" s="24">
        <v>36</v>
      </c>
      <c r="C375" s="23"/>
      <c r="D375" s="23"/>
      <c r="E375" s="24"/>
      <c r="F375" s="24"/>
      <c r="G375" s="24"/>
      <c r="H375" s="24"/>
      <c r="I375" s="24"/>
      <c r="J375" s="24" t="str">
        <f t="shared" si="11"/>
        <v/>
      </c>
      <c r="K375" s="24">
        <f t="shared" si="12"/>
        <v>710</v>
      </c>
    </row>
    <row r="376" spans="1:11">
      <c r="A376" s="35"/>
      <c r="B376" s="24">
        <v>37</v>
      </c>
      <c r="C376" s="23"/>
      <c r="D376" s="23"/>
      <c r="E376" s="24"/>
      <c r="F376" s="24"/>
      <c r="G376" s="24"/>
      <c r="H376" s="24"/>
      <c r="I376" s="24"/>
      <c r="J376" s="24" t="str">
        <f t="shared" si="11"/>
        <v/>
      </c>
      <c r="K376" s="24">
        <f t="shared" si="12"/>
        <v>710</v>
      </c>
    </row>
    <row r="377" spans="1:11">
      <c r="A377" s="35"/>
      <c r="B377" s="24">
        <v>38</v>
      </c>
      <c r="C377" s="23"/>
      <c r="D377" s="23"/>
      <c r="E377" s="24"/>
      <c r="F377" s="24"/>
      <c r="G377" s="24"/>
      <c r="H377" s="24"/>
      <c r="I377" s="24"/>
      <c r="J377" s="24" t="str">
        <f t="shared" si="11"/>
        <v/>
      </c>
      <c r="K377" s="24">
        <f t="shared" si="12"/>
        <v>710</v>
      </c>
    </row>
    <row r="378" spans="1:11">
      <c r="A378" s="35"/>
      <c r="B378" s="24">
        <v>39</v>
      </c>
      <c r="C378" s="23"/>
      <c r="D378" s="23"/>
      <c r="E378" s="24"/>
      <c r="F378" s="24"/>
      <c r="G378" s="24"/>
      <c r="H378" s="24"/>
      <c r="I378" s="24"/>
      <c r="J378" s="24" t="str">
        <f t="shared" si="11"/>
        <v/>
      </c>
      <c r="K378" s="24">
        <f t="shared" si="12"/>
        <v>710</v>
      </c>
    </row>
    <row r="379" spans="1:11">
      <c r="A379" s="35"/>
      <c r="B379" s="24">
        <v>40</v>
      </c>
      <c r="C379" s="23"/>
      <c r="D379" s="23"/>
      <c r="E379" s="24"/>
      <c r="F379" s="24"/>
      <c r="G379" s="24"/>
      <c r="H379" s="24"/>
      <c r="I379" s="24"/>
      <c r="J379" s="24" t="str">
        <f t="shared" si="11"/>
        <v/>
      </c>
      <c r="K379" s="24">
        <f t="shared" si="12"/>
        <v>710</v>
      </c>
    </row>
    <row r="380" spans="1:11">
      <c r="A380" s="35"/>
      <c r="B380" s="24">
        <v>41</v>
      </c>
      <c r="C380" s="23"/>
      <c r="D380" s="23"/>
      <c r="E380" s="24"/>
      <c r="F380" s="24"/>
      <c r="G380" s="24"/>
      <c r="H380" s="24"/>
      <c r="I380" s="24"/>
      <c r="J380" s="24" t="str">
        <f t="shared" si="11"/>
        <v/>
      </c>
      <c r="K380" s="24">
        <f t="shared" si="12"/>
        <v>710</v>
      </c>
    </row>
    <row r="381" spans="1:11">
      <c r="A381" s="35"/>
      <c r="B381" s="24">
        <v>42</v>
      </c>
      <c r="C381" s="23"/>
      <c r="D381" s="23"/>
      <c r="E381" s="24"/>
      <c r="F381" s="24"/>
      <c r="G381" s="24"/>
      <c r="H381" s="24"/>
      <c r="I381" s="24"/>
      <c r="J381" s="24" t="str">
        <f t="shared" si="11"/>
        <v/>
      </c>
      <c r="K381" s="24">
        <f t="shared" si="12"/>
        <v>710</v>
      </c>
    </row>
    <row r="382" spans="1:11">
      <c r="A382" s="35"/>
      <c r="B382" s="24">
        <v>43</v>
      </c>
      <c r="C382" s="23"/>
      <c r="D382" s="23"/>
      <c r="E382" s="24"/>
      <c r="F382" s="24"/>
      <c r="G382" s="24"/>
      <c r="H382" s="24"/>
      <c r="I382" s="24"/>
      <c r="J382" s="24" t="str">
        <f t="shared" si="11"/>
        <v/>
      </c>
      <c r="K382" s="24">
        <f t="shared" si="12"/>
        <v>710</v>
      </c>
    </row>
    <row r="383" spans="1:11">
      <c r="A383" s="35"/>
      <c r="B383" s="24">
        <v>44</v>
      </c>
      <c r="C383" s="23"/>
      <c r="D383" s="23"/>
      <c r="E383" s="24"/>
      <c r="F383" s="24"/>
      <c r="G383" s="24"/>
      <c r="H383" s="24"/>
      <c r="I383" s="24"/>
      <c r="J383" s="24" t="str">
        <f t="shared" si="11"/>
        <v/>
      </c>
      <c r="K383" s="24">
        <f t="shared" si="12"/>
        <v>710</v>
      </c>
    </row>
    <row r="384" spans="1:11">
      <c r="A384" s="35"/>
      <c r="B384" s="24">
        <v>45</v>
      </c>
      <c r="C384" s="23"/>
      <c r="D384" s="23"/>
      <c r="E384" s="24"/>
      <c r="F384" s="24"/>
      <c r="G384" s="24"/>
      <c r="H384" s="24"/>
      <c r="I384" s="24"/>
      <c r="J384" s="24" t="str">
        <f t="shared" si="11"/>
        <v/>
      </c>
      <c r="K384" s="24">
        <f t="shared" si="12"/>
        <v>710</v>
      </c>
    </row>
    <row r="385" spans="1:11">
      <c r="A385" s="35"/>
      <c r="B385" s="24">
        <v>46</v>
      </c>
      <c r="C385" s="23"/>
      <c r="D385" s="23"/>
      <c r="E385" s="24"/>
      <c r="F385" s="24"/>
      <c r="G385" s="24"/>
      <c r="H385" s="24"/>
      <c r="I385" s="24"/>
      <c r="J385" s="24" t="str">
        <f t="shared" si="11"/>
        <v/>
      </c>
      <c r="K385" s="24">
        <f t="shared" si="12"/>
        <v>710</v>
      </c>
    </row>
    <row r="386" spans="1:11">
      <c r="A386" s="35"/>
      <c r="B386" s="24">
        <v>47</v>
      </c>
      <c r="C386" s="23"/>
      <c r="D386" s="23"/>
      <c r="E386" s="24"/>
      <c r="F386" s="24"/>
      <c r="G386" s="24"/>
      <c r="H386" s="24"/>
      <c r="I386" s="24"/>
      <c r="J386" s="24" t="str">
        <f t="shared" si="11"/>
        <v/>
      </c>
      <c r="K386" s="24">
        <f t="shared" si="12"/>
        <v>710</v>
      </c>
    </row>
    <row r="387" spans="1:11">
      <c r="A387" s="35"/>
      <c r="B387" s="24">
        <v>48</v>
      </c>
      <c r="C387" s="23"/>
      <c r="D387" s="23"/>
      <c r="E387" s="24"/>
      <c r="F387" s="24"/>
      <c r="G387" s="24"/>
      <c r="H387" s="24"/>
      <c r="I387" s="24"/>
      <c r="J387" s="24" t="str">
        <f t="shared" si="11"/>
        <v/>
      </c>
      <c r="K387" s="24">
        <f t="shared" si="12"/>
        <v>710</v>
      </c>
    </row>
    <row r="388" spans="1:11">
      <c r="A388" s="35"/>
      <c r="B388" s="24">
        <v>49</v>
      </c>
      <c r="C388" s="23"/>
      <c r="D388" s="23"/>
      <c r="E388" s="24"/>
      <c r="F388" s="24"/>
      <c r="G388" s="24"/>
      <c r="H388" s="24"/>
      <c r="I388" s="24"/>
      <c r="J388" s="24" t="str">
        <f t="shared" si="11"/>
        <v/>
      </c>
      <c r="K388" s="24">
        <f t="shared" si="12"/>
        <v>710</v>
      </c>
    </row>
    <row r="389" spans="1:11">
      <c r="A389" s="35"/>
      <c r="B389" s="24">
        <v>50</v>
      </c>
      <c r="C389" s="23"/>
      <c r="D389" s="23"/>
      <c r="E389" s="24"/>
      <c r="F389" s="24"/>
      <c r="G389" s="24"/>
      <c r="H389" s="24"/>
      <c r="I389" s="24"/>
      <c r="J389" s="24" t="str">
        <f t="shared" si="11"/>
        <v/>
      </c>
      <c r="K389" s="24">
        <f t="shared" si="12"/>
        <v>710</v>
      </c>
    </row>
    <row r="390" spans="1:11">
      <c r="A390" s="35"/>
      <c r="B390" s="24">
        <v>51</v>
      </c>
      <c r="C390" s="23"/>
      <c r="D390" s="23"/>
      <c r="E390" s="24"/>
      <c r="F390" s="24"/>
      <c r="G390" s="24"/>
      <c r="H390" s="24"/>
      <c r="I390" s="24"/>
      <c r="J390" s="24" t="str">
        <f t="shared" si="11"/>
        <v/>
      </c>
      <c r="K390" s="24">
        <f t="shared" si="12"/>
        <v>710</v>
      </c>
    </row>
    <row r="391" spans="1:11">
      <c r="A391" s="35"/>
      <c r="B391" s="24">
        <v>52</v>
      </c>
      <c r="C391" s="23"/>
      <c r="D391" s="23"/>
      <c r="E391" s="24"/>
      <c r="F391" s="24"/>
      <c r="G391" s="24"/>
      <c r="H391" s="24"/>
      <c r="I391" s="24"/>
      <c r="J391" s="24" t="str">
        <f t="shared" si="11"/>
        <v/>
      </c>
      <c r="K391" s="24">
        <f t="shared" si="12"/>
        <v>710</v>
      </c>
    </row>
    <row r="392" spans="1:11">
      <c r="A392" s="35"/>
      <c r="B392" s="24">
        <v>53</v>
      </c>
      <c r="C392" s="23"/>
      <c r="D392" s="23"/>
      <c r="E392" s="24"/>
      <c r="F392" s="24"/>
      <c r="G392" s="24"/>
      <c r="H392" s="24"/>
      <c r="I392" s="24"/>
      <c r="J392" s="24" t="str">
        <f t="shared" si="11"/>
        <v/>
      </c>
      <c r="K392" s="24">
        <f t="shared" si="12"/>
        <v>710</v>
      </c>
    </row>
    <row r="393" spans="1:11">
      <c r="A393" s="35"/>
      <c r="B393" s="24">
        <v>54</v>
      </c>
      <c r="C393" s="23"/>
      <c r="D393" s="23"/>
      <c r="E393" s="24"/>
      <c r="F393" s="24"/>
      <c r="G393" s="24"/>
      <c r="H393" s="24"/>
      <c r="I393" s="24"/>
      <c r="J393" s="24" t="str">
        <f t="shared" si="11"/>
        <v/>
      </c>
      <c r="K393" s="24">
        <f t="shared" si="12"/>
        <v>710</v>
      </c>
    </row>
    <row r="394" spans="1:11">
      <c r="A394" s="35"/>
      <c r="B394" s="24">
        <v>55</v>
      </c>
      <c r="C394" s="23"/>
      <c r="D394" s="23"/>
      <c r="E394" s="24"/>
      <c r="F394" s="24"/>
      <c r="G394" s="24"/>
      <c r="H394" s="24"/>
      <c r="I394" s="24"/>
      <c r="J394" s="24" t="str">
        <f t="shared" si="11"/>
        <v/>
      </c>
      <c r="K394" s="24">
        <f t="shared" si="12"/>
        <v>710</v>
      </c>
    </row>
    <row r="395" spans="1:11">
      <c r="A395" s="35"/>
      <c r="B395" s="24">
        <v>56</v>
      </c>
      <c r="C395" s="23"/>
      <c r="D395" s="23"/>
      <c r="E395" s="24"/>
      <c r="F395" s="24"/>
      <c r="G395" s="24"/>
      <c r="H395" s="24"/>
      <c r="I395" s="24"/>
      <c r="J395" s="24" t="str">
        <f t="shared" si="11"/>
        <v/>
      </c>
      <c r="K395" s="24">
        <f t="shared" si="12"/>
        <v>710</v>
      </c>
    </row>
    <row r="396" spans="1:11">
      <c r="A396" s="35"/>
      <c r="B396" s="24">
        <v>57</v>
      </c>
      <c r="C396" s="23"/>
      <c r="D396" s="23"/>
      <c r="E396" s="24"/>
      <c r="F396" s="24"/>
      <c r="G396" s="24"/>
      <c r="H396" s="24"/>
      <c r="I396" s="24"/>
      <c r="J396" s="24" t="str">
        <f t="shared" si="11"/>
        <v/>
      </c>
      <c r="K396" s="24">
        <f t="shared" si="12"/>
        <v>710</v>
      </c>
    </row>
    <row r="397" spans="1:11">
      <c r="A397" s="35"/>
      <c r="B397" s="24">
        <v>58</v>
      </c>
      <c r="C397" s="23"/>
      <c r="D397" s="23"/>
      <c r="E397" s="24"/>
      <c r="F397" s="24"/>
      <c r="G397" s="24"/>
      <c r="H397" s="24"/>
      <c r="I397" s="24"/>
      <c r="J397" s="24" t="str">
        <f t="shared" si="11"/>
        <v/>
      </c>
      <c r="K397" s="24">
        <f t="shared" si="12"/>
        <v>710</v>
      </c>
    </row>
    <row r="398" spans="1:11">
      <c r="A398" s="35"/>
      <c r="B398" s="24">
        <v>59</v>
      </c>
      <c r="C398" s="23"/>
      <c r="D398" s="23"/>
      <c r="E398" s="24"/>
      <c r="F398" s="24"/>
      <c r="G398" s="24"/>
      <c r="H398" s="24"/>
      <c r="I398" s="24"/>
      <c r="J398" s="24" t="str">
        <f t="shared" si="11"/>
        <v/>
      </c>
      <c r="K398" s="24">
        <f t="shared" si="12"/>
        <v>710</v>
      </c>
    </row>
    <row r="399" spans="1:11">
      <c r="A399" s="35"/>
      <c r="B399" s="24">
        <v>60</v>
      </c>
      <c r="C399" s="23"/>
      <c r="D399" s="23"/>
      <c r="E399" s="24"/>
      <c r="F399" s="24"/>
      <c r="G399" s="24"/>
      <c r="H399" s="24"/>
      <c r="I399" s="24"/>
      <c r="J399" s="24" t="str">
        <f t="shared" si="11"/>
        <v/>
      </c>
      <c r="K399" s="24">
        <f t="shared" si="12"/>
        <v>710</v>
      </c>
    </row>
    <row r="400" spans="1:11">
      <c r="A400" s="35"/>
      <c r="B400" s="34"/>
      <c r="C400" s="34"/>
      <c r="D400" s="34"/>
      <c r="E400" s="34"/>
      <c r="F400" s="34"/>
      <c r="G400" s="34"/>
      <c r="H400" s="34"/>
      <c r="I400" s="33" t="s">
        <v>31</v>
      </c>
      <c r="J400" s="33"/>
      <c r="K400" s="24">
        <f>SUM(K340:K399)</f>
        <v>33000</v>
      </c>
    </row>
    <row r="401" spans="1:11">
      <c r="I401" s="27"/>
      <c r="J401" s="27"/>
      <c r="K401" s="24"/>
    </row>
    <row r="404" spans="1:11">
      <c r="A404" s="23">
        <v>7</v>
      </c>
      <c r="B404" s="23" t="s">
        <v>0</v>
      </c>
      <c r="C404" s="28" t="str">
        <f>IF('Navigation and Summary'!$B$15="", "", 'Navigation and Summary'!$B$15)</f>
        <v>BASIC 1B</v>
      </c>
      <c r="D404" s="28"/>
      <c r="E404" s="23" t="s">
        <v>37</v>
      </c>
      <c r="F404" s="24">
        <f>IF('Navigation and Summary'!$C$15="", "", 'Navigation and Summary'!$C$15)</f>
        <v>710</v>
      </c>
      <c r="G404" s="23" t="s">
        <v>34</v>
      </c>
      <c r="H404" s="24" t="str">
        <f>IF(C404="", "", 'Navigation and Summary'!$G$6)</f>
        <v>2025-26</v>
      </c>
    </row>
    <row r="405" spans="1:11">
      <c r="A405" s="35"/>
      <c r="B405" s="35" t="s">
        <v>32</v>
      </c>
      <c r="C405" s="35"/>
      <c r="D405" s="35"/>
      <c r="E405" s="35"/>
      <c r="F405" s="35"/>
      <c r="G405" s="35"/>
      <c r="H405" s="35"/>
      <c r="I405" s="23"/>
      <c r="J405" s="23"/>
      <c r="K405" s="23"/>
    </row>
    <row r="406" spans="1:11" ht="28.5">
      <c r="A406" s="35"/>
      <c r="B406" s="25" t="s">
        <v>1</v>
      </c>
      <c r="C406" s="25" t="s">
        <v>2</v>
      </c>
      <c r="D406" s="25" t="s">
        <v>745</v>
      </c>
      <c r="E406" s="25" t="s">
        <v>3</v>
      </c>
      <c r="F406" s="25" t="s">
        <v>4</v>
      </c>
      <c r="G406" s="25" t="s">
        <v>5</v>
      </c>
      <c r="H406" s="25" t="s">
        <v>6</v>
      </c>
      <c r="I406" s="25" t="s">
        <v>7</v>
      </c>
      <c r="J406" s="25" t="s">
        <v>8</v>
      </c>
      <c r="K406" s="25" t="s">
        <v>9</v>
      </c>
    </row>
    <row r="407" spans="1:11">
      <c r="A407" s="35"/>
      <c r="B407" s="24">
        <v>1</v>
      </c>
      <c r="C407" s="23" t="s">
        <v>232</v>
      </c>
      <c r="D407" s="23" t="s">
        <v>746</v>
      </c>
      <c r="E407" s="24">
        <v>710</v>
      </c>
      <c r="F407" s="24"/>
      <c r="G407" s="24"/>
      <c r="H407" s="24"/>
      <c r="I407" s="24"/>
      <c r="J407" s="24">
        <f>IF(SUM(E407:I407)=0, "", SUM(E407:I407))</f>
        <v>710</v>
      </c>
      <c r="K407" s="24">
        <f xml:space="preserve"> IFERROR(IF(($F$404-J407)=0, 0, ($F$404-J407)),$F$404)</f>
        <v>0</v>
      </c>
    </row>
    <row r="408" spans="1:11">
      <c r="A408" s="35"/>
      <c r="B408" s="24">
        <v>2</v>
      </c>
      <c r="C408" s="23" t="s">
        <v>237</v>
      </c>
      <c r="D408" s="23" t="s">
        <v>747</v>
      </c>
      <c r="E408" s="24">
        <v>500</v>
      </c>
      <c r="F408" s="24"/>
      <c r="G408" s="24"/>
      <c r="H408" s="24"/>
      <c r="I408" s="24"/>
      <c r="J408" s="24">
        <f t="shared" ref="J408:J466" si="13">IF(SUM(E408:I408)=0, "", SUM(E408:I408))</f>
        <v>500</v>
      </c>
      <c r="K408" s="24">
        <f t="shared" ref="K408:K466" si="14" xml:space="preserve"> IFERROR(IF(($F$404-J408)=0, 0, ($F$404-J408)),$F$404)</f>
        <v>210</v>
      </c>
    </row>
    <row r="409" spans="1:11">
      <c r="A409" s="35"/>
      <c r="B409" s="24">
        <v>3</v>
      </c>
      <c r="C409" s="23" t="s">
        <v>726</v>
      </c>
      <c r="D409" s="23" t="s">
        <v>747</v>
      </c>
      <c r="E409" s="24">
        <v>600</v>
      </c>
      <c r="F409" s="24"/>
      <c r="G409" s="24"/>
      <c r="H409" s="24"/>
      <c r="I409" s="24"/>
      <c r="J409" s="24">
        <f t="shared" si="13"/>
        <v>600</v>
      </c>
      <c r="K409" s="24">
        <f t="shared" si="14"/>
        <v>110</v>
      </c>
    </row>
    <row r="410" spans="1:11">
      <c r="A410" s="35"/>
      <c r="B410" s="24">
        <v>4</v>
      </c>
      <c r="C410" s="23" t="s">
        <v>233</v>
      </c>
      <c r="D410" s="23" t="s">
        <v>746</v>
      </c>
      <c r="E410" s="24">
        <v>200</v>
      </c>
      <c r="F410" s="24"/>
      <c r="G410" s="24"/>
      <c r="H410" s="24"/>
      <c r="I410" s="24"/>
      <c r="J410" s="24">
        <f t="shared" si="13"/>
        <v>200</v>
      </c>
      <c r="K410" s="24">
        <f t="shared" si="14"/>
        <v>510</v>
      </c>
    </row>
    <row r="411" spans="1:11">
      <c r="A411" s="35"/>
      <c r="B411" s="24">
        <v>5</v>
      </c>
      <c r="C411" s="23" t="s">
        <v>184</v>
      </c>
      <c r="D411" s="23" t="s">
        <v>746</v>
      </c>
      <c r="E411" s="24">
        <v>710</v>
      </c>
      <c r="F411" s="24"/>
      <c r="G411" s="24"/>
      <c r="H411" s="24"/>
      <c r="I411" s="24"/>
      <c r="J411" s="24">
        <f t="shared" si="13"/>
        <v>710</v>
      </c>
      <c r="K411" s="24">
        <f t="shared" si="14"/>
        <v>0</v>
      </c>
    </row>
    <row r="412" spans="1:11">
      <c r="A412" s="35"/>
      <c r="B412" s="24">
        <v>6</v>
      </c>
      <c r="C412" s="23" t="s">
        <v>153</v>
      </c>
      <c r="D412" s="23" t="s">
        <v>747</v>
      </c>
      <c r="E412" s="24">
        <v>300</v>
      </c>
      <c r="F412" s="24"/>
      <c r="G412" s="24"/>
      <c r="H412" s="24"/>
      <c r="I412" s="24"/>
      <c r="J412" s="24">
        <f t="shared" si="13"/>
        <v>300</v>
      </c>
      <c r="K412" s="24">
        <f t="shared" si="14"/>
        <v>410</v>
      </c>
    </row>
    <row r="413" spans="1:11">
      <c r="A413" s="35"/>
      <c r="B413" s="24">
        <v>7</v>
      </c>
      <c r="C413" s="23" t="s">
        <v>155</v>
      </c>
      <c r="D413" s="23" t="s">
        <v>747</v>
      </c>
      <c r="E413" s="24">
        <v>500</v>
      </c>
      <c r="F413" s="24">
        <v>210</v>
      </c>
      <c r="G413" s="24"/>
      <c r="H413" s="24"/>
      <c r="I413" s="24"/>
      <c r="J413" s="24">
        <f t="shared" si="13"/>
        <v>710</v>
      </c>
      <c r="K413" s="24">
        <f t="shared" si="14"/>
        <v>0</v>
      </c>
    </row>
    <row r="414" spans="1:11">
      <c r="A414" s="35"/>
      <c r="B414" s="24">
        <v>8</v>
      </c>
      <c r="C414" s="23" t="s">
        <v>156</v>
      </c>
      <c r="D414" s="23" t="s">
        <v>747</v>
      </c>
      <c r="E414" s="24">
        <v>300</v>
      </c>
      <c r="F414" s="24"/>
      <c r="G414" s="24"/>
      <c r="H414" s="24"/>
      <c r="I414" s="24"/>
      <c r="J414" s="24">
        <f t="shared" si="13"/>
        <v>300</v>
      </c>
      <c r="K414" s="24">
        <f t="shared" si="14"/>
        <v>410</v>
      </c>
    </row>
    <row r="415" spans="1:11">
      <c r="A415" s="35"/>
      <c r="B415" s="24">
        <v>9</v>
      </c>
      <c r="C415" s="23" t="s">
        <v>163</v>
      </c>
      <c r="D415" s="23" t="s">
        <v>747</v>
      </c>
      <c r="E415" s="24">
        <v>300</v>
      </c>
      <c r="F415" s="24"/>
      <c r="G415" s="24"/>
      <c r="H415" s="24"/>
      <c r="I415" s="24"/>
      <c r="J415" s="24">
        <f t="shared" si="13"/>
        <v>300</v>
      </c>
      <c r="K415" s="24">
        <f t="shared" si="14"/>
        <v>410</v>
      </c>
    </row>
    <row r="416" spans="1:11">
      <c r="A416" s="35"/>
      <c r="B416" s="24">
        <v>10</v>
      </c>
      <c r="C416" s="23" t="s">
        <v>158</v>
      </c>
      <c r="D416" s="23" t="s">
        <v>747</v>
      </c>
      <c r="E416" s="24">
        <v>450</v>
      </c>
      <c r="F416" s="24">
        <v>50</v>
      </c>
      <c r="G416" s="24"/>
      <c r="H416" s="24"/>
      <c r="I416" s="24"/>
      <c r="J416" s="24">
        <f t="shared" si="13"/>
        <v>500</v>
      </c>
      <c r="K416" s="24">
        <f t="shared" si="14"/>
        <v>210</v>
      </c>
    </row>
    <row r="417" spans="1:11">
      <c r="A417" s="35"/>
      <c r="B417" s="24">
        <v>11</v>
      </c>
      <c r="C417" s="23" t="s">
        <v>160</v>
      </c>
      <c r="D417" s="23" t="s">
        <v>747</v>
      </c>
      <c r="E417" s="24">
        <v>150</v>
      </c>
      <c r="F417" s="24"/>
      <c r="G417" s="24"/>
      <c r="H417" s="24"/>
      <c r="I417" s="24"/>
      <c r="J417" s="24">
        <f t="shared" si="13"/>
        <v>150</v>
      </c>
      <c r="K417" s="24">
        <f t="shared" si="14"/>
        <v>560</v>
      </c>
    </row>
    <row r="418" spans="1:11">
      <c r="A418" s="35"/>
      <c r="B418" s="24">
        <v>12</v>
      </c>
      <c r="C418" s="23" t="s">
        <v>170</v>
      </c>
      <c r="D418" s="23" t="s">
        <v>746</v>
      </c>
      <c r="E418" s="24">
        <v>400</v>
      </c>
      <c r="F418" s="24"/>
      <c r="G418" s="24"/>
      <c r="H418" s="24"/>
      <c r="I418" s="24"/>
      <c r="J418" s="24">
        <f t="shared" si="13"/>
        <v>400</v>
      </c>
      <c r="K418" s="24">
        <f t="shared" si="14"/>
        <v>310</v>
      </c>
    </row>
    <row r="419" spans="1:11">
      <c r="A419" s="35"/>
      <c r="B419" s="24">
        <v>13</v>
      </c>
      <c r="C419" s="23" t="s">
        <v>171</v>
      </c>
      <c r="D419" s="23" t="s">
        <v>746</v>
      </c>
      <c r="E419" s="24">
        <v>590</v>
      </c>
      <c r="F419" s="24"/>
      <c r="G419" s="24"/>
      <c r="H419" s="24"/>
      <c r="I419" s="24"/>
      <c r="J419" s="24">
        <f t="shared" si="13"/>
        <v>590</v>
      </c>
      <c r="K419" s="24">
        <f t="shared" si="14"/>
        <v>120</v>
      </c>
    </row>
    <row r="420" spans="1:11">
      <c r="A420" s="35"/>
      <c r="B420" s="24">
        <v>14</v>
      </c>
      <c r="C420" s="23" t="s">
        <v>161</v>
      </c>
      <c r="D420" s="23" t="s">
        <v>747</v>
      </c>
      <c r="E420" s="24">
        <v>500</v>
      </c>
      <c r="F420" s="24"/>
      <c r="G420" s="24"/>
      <c r="H420" s="24"/>
      <c r="I420" s="24"/>
      <c r="J420" s="24">
        <f t="shared" si="13"/>
        <v>500</v>
      </c>
      <c r="K420" s="24">
        <f t="shared" si="14"/>
        <v>210</v>
      </c>
    </row>
    <row r="421" spans="1:11">
      <c r="A421" s="35"/>
      <c r="B421" s="24">
        <v>15</v>
      </c>
      <c r="C421" s="23" t="s">
        <v>653</v>
      </c>
      <c r="D421" s="23" t="s">
        <v>746</v>
      </c>
      <c r="E421" s="24">
        <v>710</v>
      </c>
      <c r="F421" s="24"/>
      <c r="G421" s="24"/>
      <c r="H421" s="24"/>
      <c r="I421" s="24"/>
      <c r="J421" s="24">
        <f t="shared" si="13"/>
        <v>710</v>
      </c>
      <c r="K421" s="24">
        <f t="shared" si="14"/>
        <v>0</v>
      </c>
    </row>
    <row r="422" spans="1:11">
      <c r="A422" s="35"/>
      <c r="B422" s="24">
        <v>16</v>
      </c>
      <c r="C422" s="23" t="s">
        <v>234</v>
      </c>
      <c r="D422" s="23" t="s">
        <v>746</v>
      </c>
      <c r="E422" s="24">
        <v>300</v>
      </c>
      <c r="F422" s="24">
        <v>410</v>
      </c>
      <c r="G422" s="24"/>
      <c r="H422" s="24"/>
      <c r="I422" s="24"/>
      <c r="J422" s="24">
        <f t="shared" si="13"/>
        <v>710</v>
      </c>
      <c r="K422" s="24">
        <f t="shared" si="14"/>
        <v>0</v>
      </c>
    </row>
    <row r="423" spans="1:11">
      <c r="A423" s="35"/>
      <c r="B423" s="24">
        <v>17</v>
      </c>
      <c r="C423" s="23" t="s">
        <v>162</v>
      </c>
      <c r="D423" s="23" t="s">
        <v>747</v>
      </c>
      <c r="E423" s="24"/>
      <c r="F423" s="24"/>
      <c r="G423" s="24"/>
      <c r="H423" s="24"/>
      <c r="I423" s="24"/>
      <c r="J423" s="24" t="str">
        <f t="shared" si="13"/>
        <v/>
      </c>
      <c r="K423" s="24">
        <f t="shared" si="14"/>
        <v>710</v>
      </c>
    </row>
    <row r="424" spans="1:11">
      <c r="A424" s="35"/>
      <c r="B424" s="24">
        <v>18</v>
      </c>
      <c r="C424" s="23" t="s">
        <v>173</v>
      </c>
      <c r="D424" s="23" t="s">
        <v>747</v>
      </c>
      <c r="E424" s="24"/>
      <c r="F424" s="24"/>
      <c r="G424" s="24"/>
      <c r="H424" s="24"/>
      <c r="I424" s="24"/>
      <c r="J424" s="24" t="str">
        <f t="shared" si="13"/>
        <v/>
      </c>
      <c r="K424" s="24">
        <f t="shared" si="14"/>
        <v>710</v>
      </c>
    </row>
    <row r="425" spans="1:11">
      <c r="A425" s="35"/>
      <c r="B425" s="24">
        <v>19</v>
      </c>
      <c r="C425" s="23" t="s">
        <v>201</v>
      </c>
      <c r="D425" s="23" t="s">
        <v>747</v>
      </c>
      <c r="E425" s="24">
        <v>310</v>
      </c>
      <c r="F425" s="24"/>
      <c r="G425" s="24"/>
      <c r="H425" s="24"/>
      <c r="I425" s="24"/>
      <c r="J425" s="24">
        <f t="shared" si="13"/>
        <v>310</v>
      </c>
      <c r="K425" s="24">
        <f t="shared" si="14"/>
        <v>400</v>
      </c>
    </row>
    <row r="426" spans="1:11">
      <c r="A426" s="35"/>
      <c r="B426" s="24">
        <v>20</v>
      </c>
      <c r="C426" s="23" t="s">
        <v>235</v>
      </c>
      <c r="D426" s="23" t="s">
        <v>746</v>
      </c>
      <c r="E426" s="24">
        <v>300</v>
      </c>
      <c r="F426" s="24"/>
      <c r="G426" s="24"/>
      <c r="H426" s="24"/>
      <c r="I426" s="24"/>
      <c r="J426" s="24">
        <f t="shared" si="13"/>
        <v>300</v>
      </c>
      <c r="K426" s="24">
        <f t="shared" si="14"/>
        <v>410</v>
      </c>
    </row>
    <row r="427" spans="1:11">
      <c r="A427" s="35"/>
      <c r="B427" s="24">
        <v>21</v>
      </c>
      <c r="C427" s="23" t="s">
        <v>702</v>
      </c>
      <c r="D427" s="23" t="s">
        <v>747</v>
      </c>
      <c r="E427" s="24">
        <v>500</v>
      </c>
      <c r="F427" s="24">
        <v>210</v>
      </c>
      <c r="G427" s="24"/>
      <c r="H427" s="24"/>
      <c r="I427" s="24"/>
      <c r="J427" s="24">
        <f t="shared" si="13"/>
        <v>710</v>
      </c>
      <c r="K427" s="24">
        <f t="shared" si="14"/>
        <v>0</v>
      </c>
    </row>
    <row r="428" spans="1:11">
      <c r="A428" s="35"/>
      <c r="B428" s="24">
        <v>22</v>
      </c>
      <c r="C428" s="23" t="s">
        <v>174</v>
      </c>
      <c r="D428" s="23" t="s">
        <v>747</v>
      </c>
      <c r="E428" s="24">
        <v>600</v>
      </c>
      <c r="F428" s="24"/>
      <c r="G428" s="24"/>
      <c r="H428" s="24"/>
      <c r="I428" s="24"/>
      <c r="J428" s="24">
        <f t="shared" si="13"/>
        <v>600</v>
      </c>
      <c r="K428" s="24">
        <f t="shared" si="14"/>
        <v>110</v>
      </c>
    </row>
    <row r="429" spans="1:11">
      <c r="A429" s="35"/>
      <c r="B429" s="24">
        <v>23</v>
      </c>
      <c r="C429" s="23" t="s">
        <v>236</v>
      </c>
      <c r="D429" s="23" t="s">
        <v>746</v>
      </c>
      <c r="E429" s="24">
        <v>550</v>
      </c>
      <c r="F429" s="24">
        <v>160</v>
      </c>
      <c r="G429" s="24"/>
      <c r="H429" s="24"/>
      <c r="I429" s="24"/>
      <c r="J429" s="24">
        <f t="shared" si="13"/>
        <v>710</v>
      </c>
      <c r="K429" s="24">
        <f t="shared" si="14"/>
        <v>0</v>
      </c>
    </row>
    <row r="430" spans="1:11">
      <c r="A430" s="35"/>
      <c r="B430" s="24">
        <v>24</v>
      </c>
      <c r="C430" s="23" t="s">
        <v>672</v>
      </c>
      <c r="D430" s="23" t="s">
        <v>747</v>
      </c>
      <c r="E430" s="24">
        <v>300</v>
      </c>
      <c r="F430" s="24"/>
      <c r="G430" s="24"/>
      <c r="H430" s="24"/>
      <c r="I430" s="24"/>
      <c r="J430" s="24">
        <f t="shared" si="13"/>
        <v>300</v>
      </c>
      <c r="K430" s="24">
        <f t="shared" si="14"/>
        <v>410</v>
      </c>
    </row>
    <row r="431" spans="1:11">
      <c r="A431" s="35"/>
      <c r="B431" s="24">
        <v>25</v>
      </c>
      <c r="C431" s="23" t="s">
        <v>238</v>
      </c>
      <c r="D431" s="23" t="s">
        <v>747</v>
      </c>
      <c r="E431" s="24">
        <v>310</v>
      </c>
      <c r="F431" s="24"/>
      <c r="G431" s="24"/>
      <c r="H431" s="24"/>
      <c r="I431" s="24"/>
      <c r="J431" s="24">
        <f t="shared" si="13"/>
        <v>310</v>
      </c>
      <c r="K431" s="24">
        <f t="shared" si="14"/>
        <v>400</v>
      </c>
    </row>
    <row r="432" spans="1:11">
      <c r="A432" s="35"/>
      <c r="B432" s="24">
        <v>26</v>
      </c>
      <c r="C432" s="23"/>
      <c r="D432" s="23"/>
      <c r="E432" s="24"/>
      <c r="F432" s="24"/>
      <c r="G432" s="24"/>
      <c r="H432" s="24"/>
      <c r="I432" s="24"/>
      <c r="J432" s="24" t="str">
        <f t="shared" si="13"/>
        <v/>
      </c>
      <c r="K432" s="24">
        <f t="shared" si="14"/>
        <v>710</v>
      </c>
    </row>
    <row r="433" spans="1:11">
      <c r="A433" s="35"/>
      <c r="B433" s="24">
        <v>27</v>
      </c>
      <c r="C433" s="23"/>
      <c r="D433" s="23"/>
      <c r="E433" s="24"/>
      <c r="F433" s="24"/>
      <c r="G433" s="24"/>
      <c r="H433" s="24"/>
      <c r="I433" s="24"/>
      <c r="J433" s="24" t="str">
        <f t="shared" si="13"/>
        <v/>
      </c>
      <c r="K433" s="24">
        <f t="shared" si="14"/>
        <v>710</v>
      </c>
    </row>
    <row r="434" spans="1:11">
      <c r="A434" s="35"/>
      <c r="B434" s="24">
        <v>28</v>
      </c>
      <c r="C434" s="23"/>
      <c r="D434" s="23"/>
      <c r="E434" s="24"/>
      <c r="F434" s="24"/>
      <c r="G434" s="24"/>
      <c r="H434" s="24"/>
      <c r="I434" s="24"/>
      <c r="J434" s="24" t="str">
        <f t="shared" si="13"/>
        <v/>
      </c>
      <c r="K434" s="24">
        <f t="shared" si="14"/>
        <v>710</v>
      </c>
    </row>
    <row r="435" spans="1:11">
      <c r="A435" s="35"/>
      <c r="B435" s="24">
        <v>29</v>
      </c>
      <c r="C435" s="23"/>
      <c r="D435" s="23"/>
      <c r="E435" s="24"/>
      <c r="F435" s="24"/>
      <c r="G435" s="24"/>
      <c r="H435" s="24"/>
      <c r="I435" s="24"/>
      <c r="J435" s="24" t="str">
        <f t="shared" si="13"/>
        <v/>
      </c>
      <c r="K435" s="24">
        <f t="shared" si="14"/>
        <v>710</v>
      </c>
    </row>
    <row r="436" spans="1:11">
      <c r="A436" s="35"/>
      <c r="B436" s="24">
        <v>30</v>
      </c>
      <c r="C436" s="23"/>
      <c r="D436" s="23"/>
      <c r="E436" s="24"/>
      <c r="F436" s="24"/>
      <c r="G436" s="24"/>
      <c r="H436" s="24"/>
      <c r="I436" s="24"/>
      <c r="J436" s="24" t="str">
        <f t="shared" si="13"/>
        <v/>
      </c>
      <c r="K436" s="24">
        <f t="shared" si="14"/>
        <v>710</v>
      </c>
    </row>
    <row r="437" spans="1:11">
      <c r="A437" s="35"/>
      <c r="B437" s="24">
        <v>31</v>
      </c>
      <c r="C437" s="23"/>
      <c r="D437" s="23"/>
      <c r="E437" s="24"/>
      <c r="F437" s="24"/>
      <c r="G437" s="24"/>
      <c r="H437" s="24"/>
      <c r="I437" s="24"/>
      <c r="J437" s="24" t="str">
        <f t="shared" si="13"/>
        <v/>
      </c>
      <c r="K437" s="24">
        <f t="shared" si="14"/>
        <v>710</v>
      </c>
    </row>
    <row r="438" spans="1:11">
      <c r="A438" s="35"/>
      <c r="B438" s="24">
        <v>32</v>
      </c>
      <c r="C438" s="23"/>
      <c r="D438" s="23"/>
      <c r="E438" s="24"/>
      <c r="F438" s="24"/>
      <c r="G438" s="24"/>
      <c r="H438" s="24"/>
      <c r="I438" s="24"/>
      <c r="J438" s="24" t="str">
        <f t="shared" si="13"/>
        <v/>
      </c>
      <c r="K438" s="24">
        <f t="shared" si="14"/>
        <v>710</v>
      </c>
    </row>
    <row r="439" spans="1:11">
      <c r="A439" s="35"/>
      <c r="B439" s="24">
        <v>33</v>
      </c>
      <c r="C439" s="23"/>
      <c r="D439" s="23"/>
      <c r="E439" s="24"/>
      <c r="F439" s="24"/>
      <c r="G439" s="24"/>
      <c r="H439" s="24"/>
      <c r="I439" s="24"/>
      <c r="J439" s="24" t="str">
        <f t="shared" si="13"/>
        <v/>
      </c>
      <c r="K439" s="24">
        <f t="shared" si="14"/>
        <v>710</v>
      </c>
    </row>
    <row r="440" spans="1:11">
      <c r="A440" s="35"/>
      <c r="B440" s="24">
        <v>34</v>
      </c>
      <c r="C440" s="23"/>
      <c r="D440" s="23"/>
      <c r="E440" s="24"/>
      <c r="F440" s="24"/>
      <c r="G440" s="24"/>
      <c r="H440" s="24"/>
      <c r="I440" s="24"/>
      <c r="J440" s="24" t="str">
        <f t="shared" si="13"/>
        <v/>
      </c>
      <c r="K440" s="24">
        <f t="shared" si="14"/>
        <v>710</v>
      </c>
    </row>
    <row r="441" spans="1:11">
      <c r="A441" s="35"/>
      <c r="B441" s="24">
        <v>35</v>
      </c>
      <c r="C441" s="23"/>
      <c r="D441" s="23"/>
      <c r="E441" s="24"/>
      <c r="F441" s="24"/>
      <c r="G441" s="24"/>
      <c r="H441" s="24"/>
      <c r="I441" s="24"/>
      <c r="J441" s="24" t="str">
        <f t="shared" si="13"/>
        <v/>
      </c>
      <c r="K441" s="24">
        <f t="shared" si="14"/>
        <v>710</v>
      </c>
    </row>
    <row r="442" spans="1:11">
      <c r="A442" s="35"/>
      <c r="B442" s="24">
        <v>36</v>
      </c>
      <c r="C442" s="23"/>
      <c r="D442" s="23"/>
      <c r="E442" s="24"/>
      <c r="F442" s="24"/>
      <c r="G442" s="24"/>
      <c r="H442" s="24"/>
      <c r="I442" s="24"/>
      <c r="J442" s="24" t="str">
        <f t="shared" si="13"/>
        <v/>
      </c>
      <c r="K442" s="24">
        <f t="shared" si="14"/>
        <v>710</v>
      </c>
    </row>
    <row r="443" spans="1:11">
      <c r="A443" s="35"/>
      <c r="B443" s="24">
        <v>37</v>
      </c>
      <c r="C443" s="23"/>
      <c r="D443" s="23"/>
      <c r="E443" s="24"/>
      <c r="F443" s="24"/>
      <c r="G443" s="24"/>
      <c r="H443" s="24"/>
      <c r="I443" s="24"/>
      <c r="J443" s="24" t="str">
        <f t="shared" si="13"/>
        <v/>
      </c>
      <c r="K443" s="24">
        <f t="shared" si="14"/>
        <v>710</v>
      </c>
    </row>
    <row r="444" spans="1:11">
      <c r="A444" s="35"/>
      <c r="B444" s="24">
        <v>38</v>
      </c>
      <c r="C444" s="23"/>
      <c r="D444" s="23"/>
      <c r="E444" s="24"/>
      <c r="F444" s="24"/>
      <c r="G444" s="24"/>
      <c r="H444" s="24"/>
      <c r="I444" s="24"/>
      <c r="J444" s="24" t="str">
        <f t="shared" si="13"/>
        <v/>
      </c>
      <c r="K444" s="24">
        <f t="shared" si="14"/>
        <v>710</v>
      </c>
    </row>
    <row r="445" spans="1:11">
      <c r="A445" s="35"/>
      <c r="B445" s="24">
        <v>39</v>
      </c>
      <c r="C445" s="23"/>
      <c r="D445" s="23"/>
      <c r="E445" s="24"/>
      <c r="F445" s="24"/>
      <c r="G445" s="24"/>
      <c r="H445" s="24"/>
      <c r="I445" s="24"/>
      <c r="J445" s="24" t="str">
        <f t="shared" si="13"/>
        <v/>
      </c>
      <c r="K445" s="24">
        <f t="shared" si="14"/>
        <v>710</v>
      </c>
    </row>
    <row r="446" spans="1:11">
      <c r="A446" s="35"/>
      <c r="B446" s="24">
        <v>40</v>
      </c>
      <c r="C446" s="23"/>
      <c r="D446" s="23"/>
      <c r="E446" s="24"/>
      <c r="F446" s="24"/>
      <c r="G446" s="24"/>
      <c r="H446" s="24"/>
      <c r="I446" s="24"/>
      <c r="J446" s="24" t="str">
        <f t="shared" si="13"/>
        <v/>
      </c>
      <c r="K446" s="24">
        <f t="shared" si="14"/>
        <v>710</v>
      </c>
    </row>
    <row r="447" spans="1:11">
      <c r="A447" s="35"/>
      <c r="B447" s="24">
        <v>41</v>
      </c>
      <c r="C447" s="23"/>
      <c r="D447" s="23"/>
      <c r="E447" s="24"/>
      <c r="F447" s="24"/>
      <c r="G447" s="24"/>
      <c r="H447" s="24"/>
      <c r="I447" s="24"/>
      <c r="J447" s="24" t="str">
        <f t="shared" si="13"/>
        <v/>
      </c>
      <c r="K447" s="24">
        <f t="shared" si="14"/>
        <v>710</v>
      </c>
    </row>
    <row r="448" spans="1:11">
      <c r="A448" s="35"/>
      <c r="B448" s="24">
        <v>42</v>
      </c>
      <c r="C448" s="23"/>
      <c r="D448" s="23"/>
      <c r="E448" s="24"/>
      <c r="F448" s="24"/>
      <c r="G448" s="24"/>
      <c r="H448" s="24"/>
      <c r="I448" s="24"/>
      <c r="J448" s="24" t="str">
        <f t="shared" si="13"/>
        <v/>
      </c>
      <c r="K448" s="24">
        <f t="shared" si="14"/>
        <v>710</v>
      </c>
    </row>
    <row r="449" spans="1:11">
      <c r="A449" s="35"/>
      <c r="B449" s="24">
        <v>43</v>
      </c>
      <c r="C449" s="23"/>
      <c r="D449" s="23"/>
      <c r="E449" s="24"/>
      <c r="F449" s="24"/>
      <c r="G449" s="24"/>
      <c r="H449" s="24"/>
      <c r="I449" s="24"/>
      <c r="J449" s="24" t="str">
        <f t="shared" si="13"/>
        <v/>
      </c>
      <c r="K449" s="24">
        <f t="shared" si="14"/>
        <v>710</v>
      </c>
    </row>
    <row r="450" spans="1:11">
      <c r="A450" s="35"/>
      <c r="B450" s="24">
        <v>44</v>
      </c>
      <c r="C450" s="23"/>
      <c r="D450" s="23"/>
      <c r="E450" s="24"/>
      <c r="F450" s="24"/>
      <c r="G450" s="24"/>
      <c r="H450" s="24"/>
      <c r="I450" s="24"/>
      <c r="J450" s="24" t="str">
        <f t="shared" si="13"/>
        <v/>
      </c>
      <c r="K450" s="24">
        <f t="shared" si="14"/>
        <v>710</v>
      </c>
    </row>
    <row r="451" spans="1:11">
      <c r="A451" s="35"/>
      <c r="B451" s="24">
        <v>45</v>
      </c>
      <c r="C451" s="23"/>
      <c r="D451" s="23"/>
      <c r="E451" s="24"/>
      <c r="F451" s="24"/>
      <c r="G451" s="24"/>
      <c r="H451" s="24"/>
      <c r="I451" s="24"/>
      <c r="J451" s="24" t="str">
        <f t="shared" si="13"/>
        <v/>
      </c>
      <c r="K451" s="24">
        <f t="shared" si="14"/>
        <v>710</v>
      </c>
    </row>
    <row r="452" spans="1:11">
      <c r="A452" s="35"/>
      <c r="B452" s="24">
        <v>46</v>
      </c>
      <c r="C452" s="23"/>
      <c r="D452" s="23"/>
      <c r="E452" s="24"/>
      <c r="F452" s="24"/>
      <c r="G452" s="24"/>
      <c r="H452" s="24"/>
      <c r="I452" s="24"/>
      <c r="J452" s="24" t="str">
        <f t="shared" si="13"/>
        <v/>
      </c>
      <c r="K452" s="24">
        <f t="shared" si="14"/>
        <v>710</v>
      </c>
    </row>
    <row r="453" spans="1:11">
      <c r="A453" s="35"/>
      <c r="B453" s="24">
        <v>47</v>
      </c>
      <c r="C453" s="23"/>
      <c r="D453" s="23"/>
      <c r="E453" s="24"/>
      <c r="F453" s="24"/>
      <c r="G453" s="24"/>
      <c r="H453" s="24"/>
      <c r="I453" s="24"/>
      <c r="J453" s="24" t="str">
        <f t="shared" si="13"/>
        <v/>
      </c>
      <c r="K453" s="24">
        <f t="shared" si="14"/>
        <v>710</v>
      </c>
    </row>
    <row r="454" spans="1:11">
      <c r="A454" s="35"/>
      <c r="B454" s="24">
        <v>48</v>
      </c>
      <c r="C454" s="23"/>
      <c r="D454" s="23"/>
      <c r="E454" s="24"/>
      <c r="F454" s="24"/>
      <c r="G454" s="24"/>
      <c r="H454" s="24"/>
      <c r="I454" s="24"/>
      <c r="J454" s="24" t="str">
        <f t="shared" si="13"/>
        <v/>
      </c>
      <c r="K454" s="24">
        <f t="shared" si="14"/>
        <v>710</v>
      </c>
    </row>
    <row r="455" spans="1:11">
      <c r="A455" s="35"/>
      <c r="B455" s="24">
        <v>49</v>
      </c>
      <c r="C455" s="23"/>
      <c r="D455" s="23"/>
      <c r="E455" s="24"/>
      <c r="F455" s="24"/>
      <c r="G455" s="24"/>
      <c r="H455" s="24"/>
      <c r="I455" s="24"/>
      <c r="J455" s="24" t="str">
        <f t="shared" si="13"/>
        <v/>
      </c>
      <c r="K455" s="24">
        <f t="shared" si="14"/>
        <v>710</v>
      </c>
    </row>
    <row r="456" spans="1:11">
      <c r="A456" s="35"/>
      <c r="B456" s="24">
        <v>50</v>
      </c>
      <c r="C456" s="23"/>
      <c r="D456" s="23"/>
      <c r="E456" s="24"/>
      <c r="F456" s="24"/>
      <c r="G456" s="24"/>
      <c r="H456" s="24"/>
      <c r="I456" s="24"/>
      <c r="J456" s="24" t="str">
        <f t="shared" si="13"/>
        <v/>
      </c>
      <c r="K456" s="24">
        <f t="shared" si="14"/>
        <v>710</v>
      </c>
    </row>
    <row r="457" spans="1:11">
      <c r="A457" s="35"/>
      <c r="B457" s="24">
        <v>51</v>
      </c>
      <c r="C457" s="23"/>
      <c r="D457" s="23"/>
      <c r="E457" s="24"/>
      <c r="F457" s="24"/>
      <c r="G457" s="24"/>
      <c r="H457" s="24"/>
      <c r="I457" s="24"/>
      <c r="J457" s="24" t="str">
        <f t="shared" si="13"/>
        <v/>
      </c>
      <c r="K457" s="24">
        <f t="shared" si="14"/>
        <v>710</v>
      </c>
    </row>
    <row r="458" spans="1:11">
      <c r="A458" s="35"/>
      <c r="B458" s="24">
        <v>52</v>
      </c>
      <c r="C458" s="23"/>
      <c r="D458" s="23"/>
      <c r="E458" s="24"/>
      <c r="F458" s="24"/>
      <c r="G458" s="24"/>
      <c r="H458" s="24"/>
      <c r="I458" s="24"/>
      <c r="J458" s="24" t="str">
        <f t="shared" si="13"/>
        <v/>
      </c>
      <c r="K458" s="24">
        <f t="shared" si="14"/>
        <v>710</v>
      </c>
    </row>
    <row r="459" spans="1:11">
      <c r="A459" s="35"/>
      <c r="B459" s="24">
        <v>53</v>
      </c>
      <c r="C459" s="23"/>
      <c r="D459" s="23"/>
      <c r="E459" s="24"/>
      <c r="F459" s="24"/>
      <c r="G459" s="24"/>
      <c r="H459" s="24"/>
      <c r="I459" s="24"/>
      <c r="J459" s="24" t="str">
        <f t="shared" si="13"/>
        <v/>
      </c>
      <c r="K459" s="24">
        <f t="shared" si="14"/>
        <v>710</v>
      </c>
    </row>
    <row r="460" spans="1:11">
      <c r="A460" s="35"/>
      <c r="B460" s="24">
        <v>54</v>
      </c>
      <c r="C460" s="23"/>
      <c r="D460" s="23"/>
      <c r="E460" s="24"/>
      <c r="F460" s="24"/>
      <c r="G460" s="24"/>
      <c r="H460" s="24"/>
      <c r="I460" s="24"/>
      <c r="J460" s="24" t="str">
        <f t="shared" si="13"/>
        <v/>
      </c>
      <c r="K460" s="24">
        <f t="shared" si="14"/>
        <v>710</v>
      </c>
    </row>
    <row r="461" spans="1:11">
      <c r="A461" s="35"/>
      <c r="B461" s="24">
        <v>55</v>
      </c>
      <c r="C461" s="23"/>
      <c r="D461" s="23"/>
      <c r="E461" s="24"/>
      <c r="F461" s="24"/>
      <c r="G461" s="24"/>
      <c r="H461" s="24"/>
      <c r="I461" s="24"/>
      <c r="J461" s="24" t="str">
        <f t="shared" si="13"/>
        <v/>
      </c>
      <c r="K461" s="24">
        <f t="shared" si="14"/>
        <v>710</v>
      </c>
    </row>
    <row r="462" spans="1:11">
      <c r="A462" s="35"/>
      <c r="B462" s="24">
        <v>56</v>
      </c>
      <c r="C462" s="23"/>
      <c r="D462" s="23"/>
      <c r="E462" s="24"/>
      <c r="F462" s="24"/>
      <c r="G462" s="24"/>
      <c r="H462" s="24"/>
      <c r="I462" s="24"/>
      <c r="J462" s="24" t="str">
        <f t="shared" si="13"/>
        <v/>
      </c>
      <c r="K462" s="24">
        <f t="shared" si="14"/>
        <v>710</v>
      </c>
    </row>
    <row r="463" spans="1:11">
      <c r="A463" s="35"/>
      <c r="B463" s="24">
        <v>57</v>
      </c>
      <c r="C463" s="23"/>
      <c r="D463" s="23"/>
      <c r="E463" s="24"/>
      <c r="F463" s="24"/>
      <c r="G463" s="24"/>
      <c r="H463" s="24"/>
      <c r="I463" s="24"/>
      <c r="J463" s="24" t="str">
        <f t="shared" si="13"/>
        <v/>
      </c>
      <c r="K463" s="24">
        <f t="shared" si="14"/>
        <v>710</v>
      </c>
    </row>
    <row r="464" spans="1:11">
      <c r="A464" s="35"/>
      <c r="B464" s="24">
        <v>58</v>
      </c>
      <c r="C464" s="23"/>
      <c r="D464" s="23"/>
      <c r="E464" s="24"/>
      <c r="F464" s="24"/>
      <c r="G464" s="24"/>
      <c r="H464" s="24"/>
      <c r="I464" s="24"/>
      <c r="J464" s="24" t="str">
        <f t="shared" si="13"/>
        <v/>
      </c>
      <c r="K464" s="24">
        <f t="shared" si="14"/>
        <v>710</v>
      </c>
    </row>
    <row r="465" spans="1:11">
      <c r="A465" s="35"/>
      <c r="B465" s="24">
        <v>59</v>
      </c>
      <c r="C465" s="23"/>
      <c r="D465" s="23"/>
      <c r="E465" s="24"/>
      <c r="F465" s="24"/>
      <c r="G465" s="24"/>
      <c r="H465" s="24"/>
      <c r="I465" s="24"/>
      <c r="J465" s="24" t="str">
        <f t="shared" si="13"/>
        <v/>
      </c>
      <c r="K465" s="24">
        <f t="shared" si="14"/>
        <v>710</v>
      </c>
    </row>
    <row r="466" spans="1:11">
      <c r="A466" s="35"/>
      <c r="B466" s="24">
        <v>60</v>
      </c>
      <c r="C466" s="23"/>
      <c r="D466" s="23"/>
      <c r="E466" s="24"/>
      <c r="F466" s="24"/>
      <c r="G466" s="24"/>
      <c r="H466" s="24"/>
      <c r="I466" s="24"/>
      <c r="J466" s="24" t="str">
        <f t="shared" si="13"/>
        <v/>
      </c>
      <c r="K466" s="24">
        <f t="shared" si="14"/>
        <v>710</v>
      </c>
    </row>
    <row r="467" spans="1:11">
      <c r="A467" s="35"/>
      <c r="B467" s="34"/>
      <c r="C467" s="34"/>
      <c r="D467" s="34"/>
      <c r="E467" s="34"/>
      <c r="F467" s="34"/>
      <c r="G467" s="34"/>
      <c r="H467" s="34"/>
      <c r="I467" s="33" t="s">
        <v>31</v>
      </c>
      <c r="J467" s="33"/>
      <c r="K467" s="24">
        <f>SUM(K407:K466)</f>
        <v>31470</v>
      </c>
    </row>
    <row r="468" spans="1:11">
      <c r="I468" s="27"/>
      <c r="J468" s="27"/>
      <c r="K468" s="24"/>
    </row>
    <row r="469" spans="1:11">
      <c r="I469" s="27"/>
      <c r="J469" s="27"/>
      <c r="K469" s="24"/>
    </row>
    <row r="471" spans="1:11">
      <c r="A471" s="23">
        <v>8</v>
      </c>
      <c r="B471" s="23" t="s">
        <v>0</v>
      </c>
      <c r="C471" s="28" t="str">
        <f>IF('Navigation and Summary'!$B$16="", "", 'Navigation and Summary'!$B$16)</f>
        <v>BASIC 2A</v>
      </c>
      <c r="D471" s="28"/>
      <c r="E471" s="23" t="s">
        <v>37</v>
      </c>
      <c r="F471" s="24">
        <f>IF('Navigation and Summary'!$C$16="", "", 'Navigation and Summary'!$C$16)</f>
        <v>710</v>
      </c>
      <c r="G471" s="23" t="s">
        <v>34</v>
      </c>
      <c r="H471" s="24" t="str">
        <f>IF(C471="", "", 'Navigation and Summary'!$G$6)</f>
        <v>2025-26</v>
      </c>
    </row>
    <row r="472" spans="1:11">
      <c r="A472" s="35"/>
      <c r="B472" s="35" t="s">
        <v>32</v>
      </c>
      <c r="C472" s="35"/>
      <c r="D472" s="35"/>
      <c r="E472" s="35"/>
      <c r="F472" s="35"/>
      <c r="G472" s="35"/>
      <c r="H472" s="35"/>
      <c r="I472" s="23"/>
      <c r="J472" s="23"/>
      <c r="K472" s="23"/>
    </row>
    <row r="473" spans="1:11" ht="28.5">
      <c r="A473" s="35"/>
      <c r="B473" s="25" t="s">
        <v>1</v>
      </c>
      <c r="C473" s="25" t="s">
        <v>2</v>
      </c>
      <c r="D473" s="25" t="s">
        <v>745</v>
      </c>
      <c r="E473" s="25" t="s">
        <v>3</v>
      </c>
      <c r="F473" s="25" t="s">
        <v>4</v>
      </c>
      <c r="G473" s="25" t="s">
        <v>5</v>
      </c>
      <c r="H473" s="25" t="s">
        <v>6</v>
      </c>
      <c r="I473" s="25" t="s">
        <v>7</v>
      </c>
      <c r="J473" s="25" t="s">
        <v>8</v>
      </c>
      <c r="K473" s="25" t="s">
        <v>9</v>
      </c>
    </row>
    <row r="474" spans="1:11">
      <c r="A474" s="35"/>
      <c r="B474" s="24">
        <v>1</v>
      </c>
      <c r="C474" s="23" t="s">
        <v>371</v>
      </c>
      <c r="D474" s="23" t="s">
        <v>747</v>
      </c>
      <c r="E474" s="24">
        <v>440</v>
      </c>
      <c r="F474" s="24"/>
      <c r="G474" s="24"/>
      <c r="H474" s="24"/>
      <c r="I474" s="24"/>
      <c r="J474" s="24">
        <f>IF(SUM(E474:I474)=0, "", SUM(E474:I474))</f>
        <v>440</v>
      </c>
      <c r="K474" s="24">
        <f xml:space="preserve"> IFERROR(IF(($F$471-J474)=0, 0, ($F$471-J474)),$F$471)</f>
        <v>270</v>
      </c>
    </row>
    <row r="475" spans="1:11">
      <c r="A475" s="35"/>
      <c r="B475" s="24">
        <v>2</v>
      </c>
      <c r="C475" s="23" t="s">
        <v>373</v>
      </c>
      <c r="D475" s="23" t="s">
        <v>747</v>
      </c>
      <c r="E475" s="24">
        <v>300</v>
      </c>
      <c r="F475" s="24">
        <v>150</v>
      </c>
      <c r="G475" s="24">
        <v>150</v>
      </c>
      <c r="H475" s="24"/>
      <c r="I475" s="24"/>
      <c r="J475" s="24">
        <f t="shared" ref="J475:J533" si="15">IF(SUM(E475:I475)=0, "", SUM(E475:I475))</f>
        <v>600</v>
      </c>
      <c r="K475" s="24">
        <f t="shared" ref="K475:K533" si="16" xml:space="preserve"> IFERROR(IF(($F$471-J475)=0, 0, ($F$471-J475)),$F$471)</f>
        <v>110</v>
      </c>
    </row>
    <row r="476" spans="1:11">
      <c r="A476" s="35"/>
      <c r="B476" s="24">
        <v>3</v>
      </c>
      <c r="C476" s="23" t="s">
        <v>612</v>
      </c>
      <c r="D476" s="23" t="s">
        <v>746</v>
      </c>
      <c r="E476" s="24">
        <v>300</v>
      </c>
      <c r="F476" s="24"/>
      <c r="G476" s="24"/>
      <c r="H476" s="24"/>
      <c r="I476" s="24"/>
      <c r="J476" s="24">
        <f>IF(SUM(E476:I476)=0, "", SUM(E476:I476))</f>
        <v>300</v>
      </c>
      <c r="K476" s="24">
        <f t="shared" si="16"/>
        <v>410</v>
      </c>
    </row>
    <row r="477" spans="1:11">
      <c r="A477" s="35"/>
      <c r="B477" s="24">
        <v>4</v>
      </c>
      <c r="C477" s="23" t="s">
        <v>374</v>
      </c>
      <c r="D477" s="23" t="s">
        <v>746</v>
      </c>
      <c r="E477" s="31">
        <v>600</v>
      </c>
      <c r="F477" s="24"/>
      <c r="G477" s="24"/>
      <c r="H477" s="24"/>
      <c r="I477" s="24"/>
      <c r="J477" s="24">
        <f t="shared" si="15"/>
        <v>600</v>
      </c>
      <c r="K477" s="24">
        <f t="shared" si="16"/>
        <v>110</v>
      </c>
    </row>
    <row r="478" spans="1:11">
      <c r="A478" s="35"/>
      <c r="B478" s="24">
        <v>5</v>
      </c>
      <c r="C478" s="23" t="s">
        <v>646</v>
      </c>
      <c r="D478" s="23" t="s">
        <v>746</v>
      </c>
      <c r="E478" s="24">
        <v>500</v>
      </c>
      <c r="F478" s="24"/>
      <c r="G478" s="24"/>
      <c r="H478" s="24"/>
      <c r="I478" s="24"/>
      <c r="J478" s="24">
        <f t="shared" si="15"/>
        <v>500</v>
      </c>
      <c r="K478" s="24">
        <f t="shared" si="16"/>
        <v>210</v>
      </c>
    </row>
    <row r="479" spans="1:11">
      <c r="A479" s="35"/>
      <c r="B479" s="24">
        <v>6</v>
      </c>
      <c r="C479" s="23" t="s">
        <v>391</v>
      </c>
      <c r="D479" s="23" t="s">
        <v>747</v>
      </c>
      <c r="E479" s="24"/>
      <c r="F479" s="24"/>
      <c r="G479" s="24"/>
      <c r="H479" s="24"/>
      <c r="I479" s="24"/>
      <c r="J479" s="24" t="str">
        <f t="shared" si="15"/>
        <v/>
      </c>
      <c r="K479" s="24">
        <f t="shared" si="16"/>
        <v>710</v>
      </c>
    </row>
    <row r="480" spans="1:11">
      <c r="A480" s="35"/>
      <c r="B480" s="24">
        <v>7</v>
      </c>
      <c r="C480" s="23" t="s">
        <v>375</v>
      </c>
      <c r="D480" s="23" t="s">
        <v>746</v>
      </c>
      <c r="E480" s="24">
        <v>300</v>
      </c>
      <c r="F480" s="24">
        <v>100</v>
      </c>
      <c r="G480" s="24">
        <v>100</v>
      </c>
      <c r="H480" s="24"/>
      <c r="I480" s="24"/>
      <c r="J480" s="24">
        <f t="shared" si="15"/>
        <v>500</v>
      </c>
      <c r="K480" s="24">
        <f t="shared" si="16"/>
        <v>210</v>
      </c>
    </row>
    <row r="481" spans="1:11">
      <c r="A481" s="35"/>
      <c r="B481" s="24">
        <v>8</v>
      </c>
      <c r="C481" s="23" t="s">
        <v>389</v>
      </c>
      <c r="D481" s="23" t="s">
        <v>746</v>
      </c>
      <c r="E481" s="24">
        <v>300</v>
      </c>
      <c r="F481" s="24">
        <v>300</v>
      </c>
      <c r="G481" s="24"/>
      <c r="H481" s="24"/>
      <c r="I481" s="24"/>
      <c r="J481" s="24">
        <f t="shared" si="15"/>
        <v>600</v>
      </c>
      <c r="K481" s="24">
        <f t="shared" si="16"/>
        <v>110</v>
      </c>
    </row>
    <row r="482" spans="1:11">
      <c r="A482" s="35"/>
      <c r="B482" s="24">
        <v>9</v>
      </c>
      <c r="C482" s="23" t="s">
        <v>610</v>
      </c>
      <c r="D482" s="23" t="s">
        <v>746</v>
      </c>
      <c r="E482" s="24">
        <v>310</v>
      </c>
      <c r="F482" s="24"/>
      <c r="G482" s="24"/>
      <c r="H482" s="24"/>
      <c r="I482" s="24"/>
      <c r="J482" s="24">
        <f t="shared" si="15"/>
        <v>310</v>
      </c>
      <c r="K482" s="24">
        <f t="shared" si="16"/>
        <v>400</v>
      </c>
    </row>
    <row r="483" spans="1:11">
      <c r="A483" s="35"/>
      <c r="B483" s="24">
        <v>10</v>
      </c>
      <c r="C483" s="23" t="s">
        <v>673</v>
      </c>
      <c r="D483" s="23" t="s">
        <v>747</v>
      </c>
      <c r="E483" s="24">
        <v>710</v>
      </c>
      <c r="F483" s="24"/>
      <c r="G483" s="24"/>
      <c r="H483" s="24"/>
      <c r="I483" s="24"/>
      <c r="J483" s="24">
        <f t="shared" si="15"/>
        <v>710</v>
      </c>
      <c r="K483" s="24">
        <f t="shared" si="16"/>
        <v>0</v>
      </c>
    </row>
    <row r="484" spans="1:11">
      <c r="A484" s="35"/>
      <c r="B484" s="24">
        <v>11</v>
      </c>
      <c r="C484" s="23" t="s">
        <v>376</v>
      </c>
      <c r="D484" s="23" t="s">
        <v>746</v>
      </c>
      <c r="E484" s="24">
        <v>210</v>
      </c>
      <c r="F484" s="24"/>
      <c r="G484" s="24"/>
      <c r="H484" s="24"/>
      <c r="I484" s="24"/>
      <c r="J484" s="24">
        <f t="shared" si="15"/>
        <v>210</v>
      </c>
      <c r="K484" s="24">
        <f t="shared" si="16"/>
        <v>500</v>
      </c>
    </row>
    <row r="485" spans="1:11">
      <c r="A485" s="35"/>
      <c r="B485" s="24">
        <v>12</v>
      </c>
      <c r="C485" s="23" t="s">
        <v>377</v>
      </c>
      <c r="D485" s="23" t="s">
        <v>746</v>
      </c>
      <c r="E485" s="24"/>
      <c r="F485" s="24"/>
      <c r="G485" s="24"/>
      <c r="H485" s="24"/>
      <c r="I485" s="24"/>
      <c r="J485" s="24" t="str">
        <f t="shared" si="15"/>
        <v/>
      </c>
      <c r="K485" s="24">
        <f t="shared" si="16"/>
        <v>710</v>
      </c>
    </row>
    <row r="486" spans="1:11">
      <c r="A486" s="35"/>
      <c r="B486" s="24">
        <v>13</v>
      </c>
      <c r="C486" s="23" t="s">
        <v>378</v>
      </c>
      <c r="D486" s="23" t="s">
        <v>746</v>
      </c>
      <c r="E486" s="24">
        <v>110</v>
      </c>
      <c r="F486" s="24"/>
      <c r="G486" s="24"/>
      <c r="H486" s="24"/>
      <c r="I486" s="24"/>
      <c r="J486" s="24">
        <f t="shared" si="15"/>
        <v>110</v>
      </c>
      <c r="K486" s="24">
        <f t="shared" si="16"/>
        <v>600</v>
      </c>
    </row>
    <row r="487" spans="1:11">
      <c r="A487" s="35"/>
      <c r="B487" s="24">
        <v>14</v>
      </c>
      <c r="C487" s="23" t="s">
        <v>379</v>
      </c>
      <c r="D487" s="23" t="s">
        <v>746</v>
      </c>
      <c r="E487" s="24">
        <v>500</v>
      </c>
      <c r="F487" s="24"/>
      <c r="G487" s="24"/>
      <c r="H487" s="24"/>
      <c r="I487" s="24"/>
      <c r="J487" s="24">
        <f t="shared" si="15"/>
        <v>500</v>
      </c>
      <c r="K487" s="24">
        <f t="shared" si="16"/>
        <v>210</v>
      </c>
    </row>
    <row r="488" spans="1:11">
      <c r="A488" s="35"/>
      <c r="B488" s="24">
        <v>15</v>
      </c>
      <c r="C488" s="23" t="s">
        <v>380</v>
      </c>
      <c r="D488" s="23" t="s">
        <v>746</v>
      </c>
      <c r="E488" s="24">
        <v>500</v>
      </c>
      <c r="F488" s="24"/>
      <c r="G488" s="24"/>
      <c r="H488" s="24"/>
      <c r="I488" s="24"/>
      <c r="J488" s="24">
        <f t="shared" si="15"/>
        <v>500</v>
      </c>
      <c r="K488" s="24">
        <f t="shared" si="16"/>
        <v>210</v>
      </c>
    </row>
    <row r="489" spans="1:11">
      <c r="A489" s="35"/>
      <c r="B489" s="24">
        <v>16</v>
      </c>
      <c r="C489" s="23" t="s">
        <v>381</v>
      </c>
      <c r="D489" s="23" t="s">
        <v>747</v>
      </c>
      <c r="E489" s="24"/>
      <c r="F489" s="24"/>
      <c r="G489" s="24"/>
      <c r="H489" s="24"/>
      <c r="I489" s="24"/>
      <c r="J489" s="24" t="str">
        <f t="shared" si="15"/>
        <v/>
      </c>
      <c r="K489" s="24">
        <f t="shared" si="16"/>
        <v>710</v>
      </c>
    </row>
    <row r="490" spans="1:11">
      <c r="A490" s="35"/>
      <c r="B490" s="24">
        <v>17</v>
      </c>
      <c r="C490" s="23" t="s">
        <v>382</v>
      </c>
      <c r="D490" s="23" t="s">
        <v>746</v>
      </c>
      <c r="E490" s="24"/>
      <c r="F490" s="24"/>
      <c r="G490" s="24"/>
      <c r="H490" s="24"/>
      <c r="I490" s="24"/>
      <c r="J490" s="24" t="str">
        <f t="shared" si="15"/>
        <v/>
      </c>
      <c r="K490" s="24">
        <f t="shared" si="16"/>
        <v>710</v>
      </c>
    </row>
    <row r="491" spans="1:11">
      <c r="A491" s="35"/>
      <c r="B491" s="24">
        <v>18</v>
      </c>
      <c r="C491" s="23" t="s">
        <v>738</v>
      </c>
      <c r="D491" s="23" t="s">
        <v>746</v>
      </c>
      <c r="E491" s="24">
        <v>710</v>
      </c>
      <c r="F491" s="24"/>
      <c r="G491" s="24"/>
      <c r="H491" s="24"/>
      <c r="I491" s="24"/>
      <c r="J491" s="24">
        <f t="shared" si="15"/>
        <v>710</v>
      </c>
      <c r="K491" s="24">
        <f t="shared" si="16"/>
        <v>0</v>
      </c>
    </row>
    <row r="492" spans="1:11">
      <c r="A492" s="35"/>
      <c r="B492" s="24">
        <v>19</v>
      </c>
      <c r="C492" s="23" t="s">
        <v>684</v>
      </c>
      <c r="D492" s="23" t="s">
        <v>747</v>
      </c>
      <c r="E492" s="24">
        <v>370</v>
      </c>
      <c r="F492" s="24"/>
      <c r="G492" s="24"/>
      <c r="H492" s="24"/>
      <c r="I492" s="24"/>
      <c r="J492" s="24">
        <f t="shared" si="15"/>
        <v>370</v>
      </c>
      <c r="K492" s="24">
        <f t="shared" si="16"/>
        <v>340</v>
      </c>
    </row>
    <row r="493" spans="1:11">
      <c r="A493" s="35"/>
      <c r="B493" s="24">
        <v>20</v>
      </c>
      <c r="C493" s="23" t="s">
        <v>390</v>
      </c>
      <c r="D493" s="23" t="s">
        <v>746</v>
      </c>
      <c r="E493" s="24">
        <v>200</v>
      </c>
      <c r="F493" s="24">
        <v>200</v>
      </c>
      <c r="G493" s="24"/>
      <c r="H493" s="24"/>
      <c r="I493" s="24"/>
      <c r="J493" s="24">
        <f t="shared" si="15"/>
        <v>400</v>
      </c>
      <c r="K493" s="24">
        <f t="shared" si="16"/>
        <v>310</v>
      </c>
    </row>
    <row r="494" spans="1:11">
      <c r="A494" s="35"/>
      <c r="B494" s="24">
        <v>21</v>
      </c>
      <c r="C494" s="23" t="s">
        <v>383</v>
      </c>
      <c r="D494" s="23" t="s">
        <v>746</v>
      </c>
      <c r="E494" s="24">
        <v>500</v>
      </c>
      <c r="F494" s="24"/>
      <c r="G494" s="24"/>
      <c r="H494" s="24"/>
      <c r="I494" s="24"/>
      <c r="J494" s="24">
        <f t="shared" si="15"/>
        <v>500</v>
      </c>
      <c r="K494" s="24">
        <f t="shared" si="16"/>
        <v>210</v>
      </c>
    </row>
    <row r="495" spans="1:11">
      <c r="A495" s="35"/>
      <c r="B495" s="24">
        <v>22</v>
      </c>
      <c r="C495" s="23" t="s">
        <v>262</v>
      </c>
      <c r="D495" s="23" t="s">
        <v>746</v>
      </c>
      <c r="E495" s="24">
        <v>400</v>
      </c>
      <c r="F495" s="24"/>
      <c r="G495" s="24"/>
      <c r="H495" s="24"/>
      <c r="I495" s="24"/>
      <c r="J495" s="24">
        <f t="shared" si="15"/>
        <v>400</v>
      </c>
      <c r="K495" s="24">
        <f t="shared" si="16"/>
        <v>310</v>
      </c>
    </row>
    <row r="496" spans="1:11">
      <c r="A496" s="35"/>
      <c r="B496" s="24">
        <v>23</v>
      </c>
      <c r="C496" s="23" t="s">
        <v>384</v>
      </c>
      <c r="D496" s="23" t="s">
        <v>746</v>
      </c>
      <c r="E496" s="24">
        <v>500</v>
      </c>
      <c r="F496" s="24"/>
      <c r="G496" s="24"/>
      <c r="H496" s="24"/>
      <c r="I496" s="24"/>
      <c r="J496" s="24">
        <f t="shared" si="15"/>
        <v>500</v>
      </c>
      <c r="K496" s="24">
        <f t="shared" si="16"/>
        <v>210</v>
      </c>
    </row>
    <row r="497" spans="1:11">
      <c r="A497" s="35"/>
      <c r="B497" s="24">
        <v>24</v>
      </c>
      <c r="C497" s="23" t="s">
        <v>385</v>
      </c>
      <c r="D497" s="23" t="s">
        <v>746</v>
      </c>
      <c r="E497" s="24">
        <v>300</v>
      </c>
      <c r="F497" s="24"/>
      <c r="G497" s="24"/>
      <c r="H497" s="24"/>
      <c r="I497" s="24"/>
      <c r="J497" s="24">
        <f t="shared" si="15"/>
        <v>300</v>
      </c>
      <c r="K497" s="24">
        <f t="shared" si="16"/>
        <v>410</v>
      </c>
    </row>
    <row r="498" spans="1:11">
      <c r="A498" s="35"/>
      <c r="B498" s="24">
        <v>25</v>
      </c>
      <c r="C498" s="23" t="s">
        <v>386</v>
      </c>
      <c r="D498" s="23" t="s">
        <v>747</v>
      </c>
      <c r="E498" s="24">
        <v>400</v>
      </c>
      <c r="F498" s="24"/>
      <c r="G498" s="24"/>
      <c r="H498" s="24"/>
      <c r="I498" s="24"/>
      <c r="J498" s="24">
        <f t="shared" si="15"/>
        <v>400</v>
      </c>
      <c r="K498" s="24">
        <f t="shared" si="16"/>
        <v>310</v>
      </c>
    </row>
    <row r="499" spans="1:11">
      <c r="A499" s="35"/>
      <c r="B499" s="24">
        <v>26</v>
      </c>
      <c r="C499" s="23" t="s">
        <v>387</v>
      </c>
      <c r="D499" s="23" t="s">
        <v>747</v>
      </c>
      <c r="E499" s="24">
        <v>710</v>
      </c>
      <c r="F499" s="24"/>
      <c r="G499" s="24"/>
      <c r="H499" s="24"/>
      <c r="I499" s="24"/>
      <c r="J499" s="24">
        <f t="shared" si="15"/>
        <v>710</v>
      </c>
      <c r="K499" s="24">
        <f t="shared" si="16"/>
        <v>0</v>
      </c>
    </row>
    <row r="500" spans="1:11">
      <c r="A500" s="35"/>
      <c r="B500" s="24">
        <v>27</v>
      </c>
      <c r="C500" s="23" t="s">
        <v>388</v>
      </c>
      <c r="D500" s="23" t="s">
        <v>746</v>
      </c>
      <c r="E500" s="24">
        <v>310</v>
      </c>
      <c r="F500" s="24"/>
      <c r="G500" s="24"/>
      <c r="H500" s="24"/>
      <c r="I500" s="24"/>
      <c r="J500" s="24">
        <f t="shared" si="15"/>
        <v>310</v>
      </c>
      <c r="K500" s="24">
        <f t="shared" si="16"/>
        <v>400</v>
      </c>
    </row>
    <row r="501" spans="1:11">
      <c r="A501" s="35"/>
      <c r="B501" s="24">
        <v>28</v>
      </c>
      <c r="C501" s="23"/>
      <c r="D501" s="23"/>
      <c r="E501" s="24"/>
      <c r="F501" s="24"/>
      <c r="G501" s="24"/>
      <c r="H501" s="24"/>
      <c r="I501" s="24"/>
      <c r="J501" s="24" t="str">
        <f t="shared" si="15"/>
        <v/>
      </c>
      <c r="K501" s="24">
        <f t="shared" si="16"/>
        <v>710</v>
      </c>
    </row>
    <row r="502" spans="1:11">
      <c r="A502" s="35"/>
      <c r="B502" s="24">
        <v>29</v>
      </c>
      <c r="C502" s="23"/>
      <c r="D502" s="23"/>
      <c r="E502" s="24"/>
      <c r="F502" s="24"/>
      <c r="G502" s="24"/>
      <c r="H502" s="24"/>
      <c r="I502" s="24"/>
      <c r="J502" s="24" t="str">
        <f t="shared" si="15"/>
        <v/>
      </c>
      <c r="K502" s="24">
        <f t="shared" si="16"/>
        <v>710</v>
      </c>
    </row>
    <row r="503" spans="1:11">
      <c r="A503" s="35"/>
      <c r="B503" s="24">
        <v>30</v>
      </c>
      <c r="C503" s="23"/>
      <c r="D503" s="23"/>
      <c r="E503" s="24"/>
      <c r="F503" s="24"/>
      <c r="G503" s="24"/>
      <c r="H503" s="24"/>
      <c r="I503" s="24"/>
      <c r="J503" s="24" t="str">
        <f t="shared" si="15"/>
        <v/>
      </c>
      <c r="K503" s="24">
        <f t="shared" si="16"/>
        <v>710</v>
      </c>
    </row>
    <row r="504" spans="1:11">
      <c r="A504" s="35"/>
      <c r="B504" s="24">
        <v>31</v>
      </c>
      <c r="C504" s="23"/>
      <c r="D504" s="23"/>
      <c r="E504" s="24"/>
      <c r="F504" s="24"/>
      <c r="G504" s="24"/>
      <c r="H504" s="24"/>
      <c r="I504" s="24"/>
      <c r="J504" s="24" t="str">
        <f t="shared" si="15"/>
        <v/>
      </c>
      <c r="K504" s="24">
        <f t="shared" si="16"/>
        <v>710</v>
      </c>
    </row>
    <row r="505" spans="1:11">
      <c r="A505" s="35"/>
      <c r="B505" s="24">
        <v>32</v>
      </c>
      <c r="C505" s="23"/>
      <c r="D505" s="23"/>
      <c r="E505" s="24"/>
      <c r="F505" s="24"/>
      <c r="G505" s="24"/>
      <c r="H505" s="24"/>
      <c r="I505" s="24"/>
      <c r="J505" s="24" t="str">
        <f t="shared" si="15"/>
        <v/>
      </c>
      <c r="K505" s="24">
        <f t="shared" si="16"/>
        <v>710</v>
      </c>
    </row>
    <row r="506" spans="1:11">
      <c r="A506" s="35"/>
      <c r="B506" s="24">
        <v>33</v>
      </c>
      <c r="C506" s="23"/>
      <c r="D506" s="23"/>
      <c r="E506" s="24"/>
      <c r="F506" s="24"/>
      <c r="G506" s="24"/>
      <c r="H506" s="24"/>
      <c r="I506" s="24"/>
      <c r="J506" s="24" t="str">
        <f t="shared" si="15"/>
        <v/>
      </c>
      <c r="K506" s="24">
        <f t="shared" si="16"/>
        <v>710</v>
      </c>
    </row>
    <row r="507" spans="1:11">
      <c r="A507" s="35"/>
      <c r="B507" s="24">
        <v>34</v>
      </c>
      <c r="C507" s="23"/>
      <c r="D507" s="23"/>
      <c r="E507" s="24"/>
      <c r="F507" s="24"/>
      <c r="G507" s="24"/>
      <c r="H507" s="24"/>
      <c r="I507" s="24"/>
      <c r="J507" s="24" t="str">
        <f t="shared" si="15"/>
        <v/>
      </c>
      <c r="K507" s="24">
        <f t="shared" si="16"/>
        <v>710</v>
      </c>
    </row>
    <row r="508" spans="1:11">
      <c r="A508" s="35"/>
      <c r="B508" s="24">
        <v>35</v>
      </c>
      <c r="C508" s="23"/>
      <c r="D508" s="23"/>
      <c r="E508" s="24"/>
      <c r="F508" s="24"/>
      <c r="G508" s="24"/>
      <c r="H508" s="24"/>
      <c r="I508" s="24"/>
      <c r="J508" s="24" t="str">
        <f t="shared" si="15"/>
        <v/>
      </c>
      <c r="K508" s="24">
        <f t="shared" si="16"/>
        <v>710</v>
      </c>
    </row>
    <row r="509" spans="1:11">
      <c r="A509" s="35"/>
      <c r="B509" s="24">
        <v>36</v>
      </c>
      <c r="C509" s="23"/>
      <c r="D509" s="23"/>
      <c r="E509" s="24"/>
      <c r="F509" s="24"/>
      <c r="G509" s="24"/>
      <c r="H509" s="24"/>
      <c r="I509" s="24"/>
      <c r="J509" s="24" t="str">
        <f t="shared" si="15"/>
        <v/>
      </c>
      <c r="K509" s="24">
        <f t="shared" si="16"/>
        <v>710</v>
      </c>
    </row>
    <row r="510" spans="1:11">
      <c r="A510" s="35"/>
      <c r="B510" s="24">
        <v>37</v>
      </c>
      <c r="C510" s="23"/>
      <c r="D510" s="23"/>
      <c r="E510" s="24"/>
      <c r="F510" s="24"/>
      <c r="G510" s="24"/>
      <c r="H510" s="24"/>
      <c r="I510" s="24"/>
      <c r="J510" s="24" t="str">
        <f t="shared" si="15"/>
        <v/>
      </c>
      <c r="K510" s="24">
        <f t="shared" si="16"/>
        <v>710</v>
      </c>
    </row>
    <row r="511" spans="1:11">
      <c r="A511" s="35"/>
      <c r="B511" s="24">
        <v>38</v>
      </c>
      <c r="C511" s="23"/>
      <c r="D511" s="23"/>
      <c r="E511" s="24"/>
      <c r="F511" s="24"/>
      <c r="G511" s="24"/>
      <c r="H511" s="24"/>
      <c r="I511" s="24"/>
      <c r="J511" s="24" t="str">
        <f t="shared" si="15"/>
        <v/>
      </c>
      <c r="K511" s="24">
        <f t="shared" si="16"/>
        <v>710</v>
      </c>
    </row>
    <row r="512" spans="1:11">
      <c r="A512" s="35"/>
      <c r="B512" s="24">
        <v>39</v>
      </c>
      <c r="C512" s="23"/>
      <c r="D512" s="23"/>
      <c r="E512" s="24"/>
      <c r="F512" s="24"/>
      <c r="G512" s="24"/>
      <c r="H512" s="24"/>
      <c r="I512" s="24"/>
      <c r="J512" s="24" t="str">
        <f t="shared" si="15"/>
        <v/>
      </c>
      <c r="K512" s="24">
        <f t="shared" si="16"/>
        <v>710</v>
      </c>
    </row>
    <row r="513" spans="1:11">
      <c r="A513" s="35"/>
      <c r="B513" s="24">
        <v>40</v>
      </c>
      <c r="C513" s="23"/>
      <c r="D513" s="23"/>
      <c r="E513" s="24"/>
      <c r="F513" s="24"/>
      <c r="G513" s="24"/>
      <c r="H513" s="24"/>
      <c r="I513" s="24"/>
      <c r="J513" s="24" t="str">
        <f t="shared" si="15"/>
        <v/>
      </c>
      <c r="K513" s="24">
        <f t="shared" si="16"/>
        <v>710</v>
      </c>
    </row>
    <row r="514" spans="1:11">
      <c r="A514" s="35"/>
      <c r="B514" s="24">
        <v>41</v>
      </c>
      <c r="C514" s="23"/>
      <c r="D514" s="23"/>
      <c r="E514" s="24"/>
      <c r="F514" s="24"/>
      <c r="G514" s="24"/>
      <c r="H514" s="24"/>
      <c r="I514" s="24"/>
      <c r="J514" s="24" t="str">
        <f t="shared" si="15"/>
        <v/>
      </c>
      <c r="K514" s="24">
        <f t="shared" si="16"/>
        <v>710</v>
      </c>
    </row>
    <row r="515" spans="1:11">
      <c r="A515" s="35"/>
      <c r="B515" s="24">
        <v>42</v>
      </c>
      <c r="C515" s="23"/>
      <c r="D515" s="23"/>
      <c r="E515" s="24"/>
      <c r="F515" s="24"/>
      <c r="G515" s="24"/>
      <c r="H515" s="24"/>
      <c r="I515" s="24"/>
      <c r="J515" s="24" t="str">
        <f t="shared" si="15"/>
        <v/>
      </c>
      <c r="K515" s="24">
        <f t="shared" si="16"/>
        <v>710</v>
      </c>
    </row>
    <row r="516" spans="1:11">
      <c r="A516" s="35"/>
      <c r="B516" s="24">
        <v>43</v>
      </c>
      <c r="C516" s="23"/>
      <c r="D516" s="23"/>
      <c r="E516" s="24"/>
      <c r="F516" s="24"/>
      <c r="G516" s="24"/>
      <c r="H516" s="24"/>
      <c r="I516" s="24"/>
      <c r="J516" s="24" t="str">
        <f t="shared" si="15"/>
        <v/>
      </c>
      <c r="K516" s="24">
        <f t="shared" si="16"/>
        <v>710</v>
      </c>
    </row>
    <row r="517" spans="1:11">
      <c r="A517" s="35"/>
      <c r="B517" s="24">
        <v>44</v>
      </c>
      <c r="C517" s="23"/>
      <c r="D517" s="23"/>
      <c r="E517" s="24"/>
      <c r="F517" s="24"/>
      <c r="G517" s="24"/>
      <c r="H517" s="24"/>
      <c r="I517" s="24"/>
      <c r="J517" s="24" t="str">
        <f t="shared" si="15"/>
        <v/>
      </c>
      <c r="K517" s="24">
        <f t="shared" si="16"/>
        <v>710</v>
      </c>
    </row>
    <row r="518" spans="1:11">
      <c r="A518" s="35"/>
      <c r="B518" s="24">
        <v>45</v>
      </c>
      <c r="C518" s="23"/>
      <c r="D518" s="23"/>
      <c r="E518" s="24"/>
      <c r="F518" s="24"/>
      <c r="G518" s="24"/>
      <c r="H518" s="24"/>
      <c r="I518" s="24"/>
      <c r="J518" s="24" t="str">
        <f t="shared" si="15"/>
        <v/>
      </c>
      <c r="K518" s="24">
        <f t="shared" si="16"/>
        <v>710</v>
      </c>
    </row>
    <row r="519" spans="1:11">
      <c r="A519" s="35"/>
      <c r="B519" s="24">
        <v>46</v>
      </c>
      <c r="C519" s="23"/>
      <c r="D519" s="23"/>
      <c r="E519" s="24"/>
      <c r="F519" s="24"/>
      <c r="G519" s="24"/>
      <c r="H519" s="24"/>
      <c r="I519" s="24"/>
      <c r="J519" s="24" t="str">
        <f t="shared" si="15"/>
        <v/>
      </c>
      <c r="K519" s="24">
        <f t="shared" si="16"/>
        <v>710</v>
      </c>
    </row>
    <row r="520" spans="1:11">
      <c r="A520" s="35"/>
      <c r="B520" s="24">
        <v>47</v>
      </c>
      <c r="C520" s="23"/>
      <c r="D520" s="23"/>
      <c r="E520" s="24"/>
      <c r="F520" s="24"/>
      <c r="G520" s="24"/>
      <c r="H520" s="24"/>
      <c r="I520" s="24"/>
      <c r="J520" s="24" t="str">
        <f t="shared" si="15"/>
        <v/>
      </c>
      <c r="K520" s="24">
        <f t="shared" si="16"/>
        <v>710</v>
      </c>
    </row>
    <row r="521" spans="1:11">
      <c r="A521" s="35"/>
      <c r="B521" s="24">
        <v>48</v>
      </c>
      <c r="C521" s="23"/>
      <c r="D521" s="23"/>
      <c r="E521" s="24"/>
      <c r="F521" s="24"/>
      <c r="G521" s="24"/>
      <c r="H521" s="24"/>
      <c r="I521" s="24"/>
      <c r="J521" s="24" t="str">
        <f t="shared" si="15"/>
        <v/>
      </c>
      <c r="K521" s="24">
        <f t="shared" si="16"/>
        <v>710</v>
      </c>
    </row>
    <row r="522" spans="1:11">
      <c r="A522" s="35"/>
      <c r="B522" s="24">
        <v>49</v>
      </c>
      <c r="C522" s="23"/>
      <c r="D522" s="23"/>
      <c r="E522" s="24"/>
      <c r="F522" s="24"/>
      <c r="G522" s="24"/>
      <c r="H522" s="24"/>
      <c r="I522" s="24"/>
      <c r="J522" s="24" t="str">
        <f t="shared" si="15"/>
        <v/>
      </c>
      <c r="K522" s="24">
        <f t="shared" si="16"/>
        <v>710</v>
      </c>
    </row>
    <row r="523" spans="1:11">
      <c r="A523" s="35"/>
      <c r="B523" s="24">
        <v>50</v>
      </c>
      <c r="C523" s="23"/>
      <c r="D523" s="23"/>
      <c r="E523" s="24"/>
      <c r="F523" s="24"/>
      <c r="G523" s="24"/>
      <c r="H523" s="24"/>
      <c r="I523" s="24"/>
      <c r="J523" s="24" t="str">
        <f t="shared" si="15"/>
        <v/>
      </c>
      <c r="K523" s="24">
        <f t="shared" si="16"/>
        <v>710</v>
      </c>
    </row>
    <row r="524" spans="1:11">
      <c r="A524" s="35"/>
      <c r="B524" s="24">
        <v>51</v>
      </c>
      <c r="C524" s="23"/>
      <c r="D524" s="23"/>
      <c r="E524" s="24"/>
      <c r="F524" s="24"/>
      <c r="G524" s="24"/>
      <c r="H524" s="24"/>
      <c r="I524" s="24"/>
      <c r="J524" s="24" t="str">
        <f t="shared" si="15"/>
        <v/>
      </c>
      <c r="K524" s="24">
        <f t="shared" si="16"/>
        <v>710</v>
      </c>
    </row>
    <row r="525" spans="1:11">
      <c r="A525" s="35"/>
      <c r="B525" s="24">
        <v>52</v>
      </c>
      <c r="C525" s="23"/>
      <c r="D525" s="23"/>
      <c r="E525" s="24"/>
      <c r="F525" s="24"/>
      <c r="G525" s="24"/>
      <c r="H525" s="24"/>
      <c r="I525" s="24"/>
      <c r="J525" s="24" t="str">
        <f t="shared" si="15"/>
        <v/>
      </c>
      <c r="K525" s="24">
        <f t="shared" si="16"/>
        <v>710</v>
      </c>
    </row>
    <row r="526" spans="1:11">
      <c r="A526" s="35"/>
      <c r="B526" s="24">
        <v>53</v>
      </c>
      <c r="C526" s="23"/>
      <c r="D526" s="23"/>
      <c r="E526" s="24"/>
      <c r="F526" s="24"/>
      <c r="G526" s="24"/>
      <c r="H526" s="24"/>
      <c r="I526" s="24"/>
      <c r="J526" s="24" t="str">
        <f t="shared" si="15"/>
        <v/>
      </c>
      <c r="K526" s="24">
        <f t="shared" si="16"/>
        <v>710</v>
      </c>
    </row>
    <row r="527" spans="1:11">
      <c r="A527" s="35"/>
      <c r="B527" s="24">
        <v>54</v>
      </c>
      <c r="C527" s="23"/>
      <c r="D527" s="23"/>
      <c r="E527" s="24"/>
      <c r="F527" s="24"/>
      <c r="G527" s="24"/>
      <c r="H527" s="24"/>
      <c r="I527" s="24"/>
      <c r="J527" s="24" t="str">
        <f t="shared" si="15"/>
        <v/>
      </c>
      <c r="K527" s="24">
        <f t="shared" si="16"/>
        <v>710</v>
      </c>
    </row>
    <row r="528" spans="1:11">
      <c r="A528" s="35"/>
      <c r="B528" s="24">
        <v>55</v>
      </c>
      <c r="C528" s="23"/>
      <c r="D528" s="23"/>
      <c r="E528" s="24"/>
      <c r="F528" s="24"/>
      <c r="G528" s="24"/>
      <c r="H528" s="24"/>
      <c r="I528" s="24"/>
      <c r="J528" s="24" t="str">
        <f t="shared" si="15"/>
        <v/>
      </c>
      <c r="K528" s="24">
        <f t="shared" si="16"/>
        <v>710</v>
      </c>
    </row>
    <row r="529" spans="1:11">
      <c r="A529" s="35"/>
      <c r="B529" s="24">
        <v>56</v>
      </c>
      <c r="C529" s="23"/>
      <c r="D529" s="23"/>
      <c r="E529" s="24"/>
      <c r="F529" s="24"/>
      <c r="G529" s="24"/>
      <c r="H529" s="24"/>
      <c r="I529" s="24"/>
      <c r="J529" s="24" t="str">
        <f t="shared" si="15"/>
        <v/>
      </c>
      <c r="K529" s="24">
        <f t="shared" si="16"/>
        <v>710</v>
      </c>
    </row>
    <row r="530" spans="1:11">
      <c r="A530" s="35"/>
      <c r="B530" s="24">
        <v>57</v>
      </c>
      <c r="C530" s="23"/>
      <c r="D530" s="23"/>
      <c r="E530" s="24"/>
      <c r="F530" s="24"/>
      <c r="G530" s="24"/>
      <c r="H530" s="24"/>
      <c r="I530" s="24"/>
      <c r="J530" s="24" t="str">
        <f t="shared" si="15"/>
        <v/>
      </c>
      <c r="K530" s="24">
        <f t="shared" si="16"/>
        <v>710</v>
      </c>
    </row>
    <row r="531" spans="1:11">
      <c r="A531" s="35"/>
      <c r="B531" s="24">
        <v>58</v>
      </c>
      <c r="C531" s="23"/>
      <c r="D531" s="23"/>
      <c r="E531" s="24"/>
      <c r="F531" s="24"/>
      <c r="G531" s="24"/>
      <c r="H531" s="24"/>
      <c r="I531" s="24"/>
      <c r="J531" s="24" t="str">
        <f t="shared" si="15"/>
        <v/>
      </c>
      <c r="K531" s="24">
        <f t="shared" si="16"/>
        <v>710</v>
      </c>
    </row>
    <row r="532" spans="1:11">
      <c r="A532" s="35"/>
      <c r="B532" s="24">
        <v>59</v>
      </c>
      <c r="C532" s="23"/>
      <c r="D532" s="23"/>
      <c r="E532" s="24"/>
      <c r="F532" s="24"/>
      <c r="G532" s="24"/>
      <c r="H532" s="24"/>
      <c r="I532" s="24"/>
      <c r="J532" s="24" t="str">
        <f t="shared" si="15"/>
        <v/>
      </c>
      <c r="K532" s="24">
        <f t="shared" si="16"/>
        <v>710</v>
      </c>
    </row>
    <row r="533" spans="1:11">
      <c r="A533" s="35"/>
      <c r="B533" s="24">
        <v>60</v>
      </c>
      <c r="C533" s="23"/>
      <c r="D533" s="23"/>
      <c r="E533" s="24"/>
      <c r="F533" s="24"/>
      <c r="G533" s="24"/>
      <c r="H533" s="24"/>
      <c r="I533" s="24"/>
      <c r="J533" s="24" t="str">
        <f t="shared" si="15"/>
        <v/>
      </c>
      <c r="K533" s="24">
        <f t="shared" si="16"/>
        <v>710</v>
      </c>
    </row>
    <row r="534" spans="1:11">
      <c r="A534" s="35"/>
      <c r="B534" s="34"/>
      <c r="C534" s="34"/>
      <c r="D534" s="34"/>
      <c r="E534" s="34"/>
      <c r="F534" s="34"/>
      <c r="G534" s="34"/>
      <c r="H534" s="34"/>
      <c r="I534" s="33" t="s">
        <v>31</v>
      </c>
      <c r="J534" s="33"/>
      <c r="K534" s="24">
        <f>SUM(K474:K533)</f>
        <v>32120</v>
      </c>
    </row>
    <row r="538" spans="1:11">
      <c r="A538" s="23">
        <v>9</v>
      </c>
      <c r="B538" s="23" t="s">
        <v>0</v>
      </c>
      <c r="C538" s="28" t="str">
        <f>IF('Navigation and Summary'!$B$17="", "", 'Navigation and Summary'!$B$17)</f>
        <v>BASIC 2B</v>
      </c>
      <c r="D538" s="28"/>
      <c r="E538" s="23" t="s">
        <v>37</v>
      </c>
      <c r="F538" s="24">
        <f>IF('Navigation and Summary'!$C$17="", "", 'Navigation and Summary'!$C$17)</f>
        <v>710</v>
      </c>
      <c r="G538" s="23" t="s">
        <v>34</v>
      </c>
      <c r="H538" s="24" t="str">
        <f>IF(C538="", "", 'Navigation and Summary'!$G$6)</f>
        <v>2025-26</v>
      </c>
    </row>
    <row r="539" spans="1:11">
      <c r="A539" s="35"/>
      <c r="B539" s="35" t="s">
        <v>32</v>
      </c>
      <c r="C539" s="35"/>
      <c r="D539" s="35"/>
      <c r="E539" s="35"/>
      <c r="F539" s="35"/>
      <c r="G539" s="35"/>
      <c r="H539" s="35"/>
      <c r="I539" s="23"/>
      <c r="J539" s="23"/>
      <c r="K539" s="23"/>
    </row>
    <row r="540" spans="1:11" ht="28.5">
      <c r="A540" s="35"/>
      <c r="B540" s="25" t="s">
        <v>1</v>
      </c>
      <c r="C540" s="25" t="s">
        <v>2</v>
      </c>
      <c r="D540" s="25" t="s">
        <v>745</v>
      </c>
      <c r="E540" s="25" t="s">
        <v>3</v>
      </c>
      <c r="F540" s="25" t="s">
        <v>4</v>
      </c>
      <c r="G540" s="25" t="s">
        <v>5</v>
      </c>
      <c r="H540" s="25" t="s">
        <v>6</v>
      </c>
      <c r="I540" s="25" t="s">
        <v>7</v>
      </c>
      <c r="J540" s="25" t="s">
        <v>8</v>
      </c>
      <c r="K540" s="25" t="s">
        <v>9</v>
      </c>
    </row>
    <row r="541" spans="1:11">
      <c r="A541" s="35"/>
      <c r="B541" s="24">
        <v>1</v>
      </c>
      <c r="C541" s="23" t="s">
        <v>392</v>
      </c>
      <c r="D541" s="23" t="s">
        <v>747</v>
      </c>
      <c r="E541" s="24">
        <v>150</v>
      </c>
      <c r="F541" s="24"/>
      <c r="G541" s="24"/>
      <c r="H541" s="24"/>
      <c r="I541" s="24"/>
      <c r="J541" s="24">
        <f>IF(SUM(E541:I541)=0, "", SUM(E541:I541))</f>
        <v>150</v>
      </c>
      <c r="K541" s="24">
        <f xml:space="preserve"> IFERROR(IF(($F$538-J541)=0, 0, ($F$538-J541)),$F$538)</f>
        <v>560</v>
      </c>
    </row>
    <row r="542" spans="1:11">
      <c r="A542" s="35"/>
      <c r="B542" s="24">
        <v>2</v>
      </c>
      <c r="C542" s="23" t="s">
        <v>393</v>
      </c>
      <c r="D542" s="23" t="s">
        <v>746</v>
      </c>
      <c r="E542" s="24"/>
      <c r="F542" s="24"/>
      <c r="G542" s="24"/>
      <c r="H542" s="24"/>
      <c r="I542" s="24"/>
      <c r="J542" s="24" t="str">
        <f t="shared" ref="J542:J600" si="17">IF(SUM(E542:I542)=0, "", SUM(E542:I542))</f>
        <v/>
      </c>
      <c r="K542" s="24">
        <f t="shared" ref="K542:K600" si="18" xml:space="preserve"> IFERROR(IF(($F$538-J542)=0, 0, ($F$538-J542)),$F$538)</f>
        <v>710</v>
      </c>
    </row>
    <row r="543" spans="1:11">
      <c r="A543" s="35"/>
      <c r="B543" s="24">
        <v>3</v>
      </c>
      <c r="C543" s="23" t="s">
        <v>394</v>
      </c>
      <c r="D543" s="23" t="s">
        <v>746</v>
      </c>
      <c r="E543" s="24">
        <v>200</v>
      </c>
      <c r="F543" s="24">
        <v>100</v>
      </c>
      <c r="G543" s="24">
        <v>50</v>
      </c>
      <c r="H543" s="24"/>
      <c r="I543" s="24"/>
      <c r="J543" s="24">
        <f t="shared" si="17"/>
        <v>350</v>
      </c>
      <c r="K543" s="24">
        <f t="shared" si="18"/>
        <v>360</v>
      </c>
    </row>
    <row r="544" spans="1:11">
      <c r="A544" s="35"/>
      <c r="B544" s="24">
        <v>4</v>
      </c>
      <c r="C544" s="23" t="s">
        <v>372</v>
      </c>
      <c r="D544" s="23" t="s">
        <v>746</v>
      </c>
      <c r="E544" s="24">
        <v>710</v>
      </c>
      <c r="F544" s="24"/>
      <c r="G544" s="24"/>
      <c r="H544" s="24"/>
      <c r="I544" s="24"/>
      <c r="J544" s="24">
        <f t="shared" si="17"/>
        <v>710</v>
      </c>
      <c r="K544" s="24">
        <f t="shared" si="18"/>
        <v>0</v>
      </c>
    </row>
    <row r="545" spans="1:11">
      <c r="A545" s="35"/>
      <c r="B545" s="24">
        <v>5</v>
      </c>
      <c r="C545" s="23" t="s">
        <v>395</v>
      </c>
      <c r="D545" s="23" t="s">
        <v>746</v>
      </c>
      <c r="E545" s="24">
        <v>100</v>
      </c>
      <c r="F545" s="24"/>
      <c r="G545" s="24"/>
      <c r="H545" s="24"/>
      <c r="I545" s="24"/>
      <c r="J545" s="24">
        <f t="shared" si="17"/>
        <v>100</v>
      </c>
      <c r="K545" s="24">
        <f t="shared" si="18"/>
        <v>610</v>
      </c>
    </row>
    <row r="546" spans="1:11">
      <c r="A546" s="35"/>
      <c r="B546" s="24">
        <v>6</v>
      </c>
      <c r="C546" s="23" t="s">
        <v>411</v>
      </c>
      <c r="D546" s="23" t="s">
        <v>747</v>
      </c>
      <c r="E546" s="24">
        <v>300</v>
      </c>
      <c r="F546" s="24">
        <v>300</v>
      </c>
      <c r="G546" s="24"/>
      <c r="H546" s="24"/>
      <c r="I546" s="24"/>
      <c r="J546" s="24">
        <f t="shared" si="17"/>
        <v>600</v>
      </c>
      <c r="K546" s="24">
        <f t="shared" si="18"/>
        <v>110</v>
      </c>
    </row>
    <row r="547" spans="1:11">
      <c r="A547" s="35"/>
      <c r="B547" s="24">
        <v>7</v>
      </c>
      <c r="C547" s="23" t="s">
        <v>396</v>
      </c>
      <c r="D547" s="23" t="s">
        <v>747</v>
      </c>
      <c r="E547" s="24">
        <v>450</v>
      </c>
      <c r="F547" s="24">
        <v>150</v>
      </c>
      <c r="G547" s="24">
        <v>110</v>
      </c>
      <c r="H547" s="24"/>
      <c r="I547" s="24"/>
      <c r="J547" s="24">
        <f t="shared" si="17"/>
        <v>710</v>
      </c>
      <c r="K547" s="24">
        <f t="shared" si="18"/>
        <v>0</v>
      </c>
    </row>
    <row r="548" spans="1:11">
      <c r="A548" s="35"/>
      <c r="B548" s="24">
        <v>8</v>
      </c>
      <c r="C548" s="23" t="s">
        <v>397</v>
      </c>
      <c r="D548" s="23" t="s">
        <v>746</v>
      </c>
      <c r="E548" s="24">
        <v>350</v>
      </c>
      <c r="F548" s="24">
        <v>200</v>
      </c>
      <c r="G548" s="24"/>
      <c r="H548" s="24"/>
      <c r="I548" s="24"/>
      <c r="J548" s="24">
        <f t="shared" si="17"/>
        <v>550</v>
      </c>
      <c r="K548" s="24">
        <f t="shared" si="18"/>
        <v>160</v>
      </c>
    </row>
    <row r="549" spans="1:11">
      <c r="A549" s="35"/>
      <c r="B549" s="24">
        <v>9</v>
      </c>
      <c r="C549" s="23" t="s">
        <v>398</v>
      </c>
      <c r="D549" s="23" t="s">
        <v>746</v>
      </c>
      <c r="E549" s="24">
        <v>250</v>
      </c>
      <c r="F549" s="24"/>
      <c r="G549" s="24"/>
      <c r="H549" s="24"/>
      <c r="I549" s="24"/>
      <c r="J549" s="24">
        <f t="shared" si="17"/>
        <v>250</v>
      </c>
      <c r="K549" s="24">
        <f t="shared" si="18"/>
        <v>460</v>
      </c>
    </row>
    <row r="550" spans="1:11">
      <c r="A550" s="35"/>
      <c r="B550" s="24">
        <v>10</v>
      </c>
      <c r="C550" s="23" t="s">
        <v>399</v>
      </c>
      <c r="D550" s="23" t="s">
        <v>746</v>
      </c>
      <c r="E550" s="24">
        <v>450</v>
      </c>
      <c r="F550" s="24"/>
      <c r="G550" s="24"/>
      <c r="H550" s="24"/>
      <c r="I550" s="24"/>
      <c r="J550" s="24">
        <f t="shared" si="17"/>
        <v>450</v>
      </c>
      <c r="K550" s="24">
        <f t="shared" si="18"/>
        <v>260</v>
      </c>
    </row>
    <row r="551" spans="1:11">
      <c r="A551" s="35"/>
      <c r="B551" s="24">
        <v>11</v>
      </c>
      <c r="C551" s="23" t="s">
        <v>400</v>
      </c>
      <c r="D551" s="23" t="s">
        <v>746</v>
      </c>
      <c r="E551" s="24">
        <v>300</v>
      </c>
      <c r="F551" s="24">
        <v>410</v>
      </c>
      <c r="G551" s="24"/>
      <c r="H551" s="24"/>
      <c r="I551" s="24"/>
      <c r="J551" s="24">
        <f t="shared" si="17"/>
        <v>710</v>
      </c>
      <c r="K551" s="24">
        <f t="shared" si="18"/>
        <v>0</v>
      </c>
    </row>
    <row r="552" spans="1:11">
      <c r="A552" s="35"/>
      <c r="B552" s="24">
        <v>12</v>
      </c>
      <c r="C552" s="23" t="s">
        <v>401</v>
      </c>
      <c r="D552" s="23" t="s">
        <v>746</v>
      </c>
      <c r="E552" s="24">
        <v>300</v>
      </c>
      <c r="F552" s="24"/>
      <c r="G552" s="24"/>
      <c r="H552" s="24"/>
      <c r="I552" s="24"/>
      <c r="J552" s="24">
        <f t="shared" si="17"/>
        <v>300</v>
      </c>
      <c r="K552" s="24">
        <f t="shared" si="18"/>
        <v>410</v>
      </c>
    </row>
    <row r="553" spans="1:11">
      <c r="A553" s="35"/>
      <c r="B553" s="24">
        <v>13</v>
      </c>
      <c r="C553" s="23" t="s">
        <v>402</v>
      </c>
      <c r="D553" s="23" t="s">
        <v>746</v>
      </c>
      <c r="E553" s="24">
        <v>200</v>
      </c>
      <c r="F553" s="24"/>
      <c r="G553" s="24"/>
      <c r="H553" s="24"/>
      <c r="I553" s="24"/>
      <c r="J553" s="24">
        <f t="shared" si="17"/>
        <v>200</v>
      </c>
      <c r="K553" s="24">
        <f t="shared" si="18"/>
        <v>510</v>
      </c>
    </row>
    <row r="554" spans="1:11">
      <c r="A554" s="35"/>
      <c r="B554" s="24">
        <v>14</v>
      </c>
      <c r="C554" s="23" t="s">
        <v>733</v>
      </c>
      <c r="D554" s="23" t="s">
        <v>746</v>
      </c>
      <c r="E554" s="24">
        <v>710</v>
      </c>
      <c r="F554" s="24"/>
      <c r="G554" s="24"/>
      <c r="H554" s="24"/>
      <c r="I554" s="24"/>
      <c r="J554" s="24">
        <f t="shared" si="17"/>
        <v>710</v>
      </c>
      <c r="K554" s="24">
        <f t="shared" si="18"/>
        <v>0</v>
      </c>
    </row>
    <row r="555" spans="1:11">
      <c r="A555" s="35"/>
      <c r="B555" s="24">
        <v>15</v>
      </c>
      <c r="C555" s="23" t="s">
        <v>403</v>
      </c>
      <c r="D555" s="23" t="s">
        <v>747</v>
      </c>
      <c r="E555" s="24">
        <v>600</v>
      </c>
      <c r="F555" s="24"/>
      <c r="G555" s="24"/>
      <c r="H555" s="24"/>
      <c r="I555" s="24"/>
      <c r="J555" s="24">
        <f t="shared" si="17"/>
        <v>600</v>
      </c>
      <c r="K555" s="24">
        <f t="shared" si="18"/>
        <v>110</v>
      </c>
    </row>
    <row r="556" spans="1:11">
      <c r="A556" s="35"/>
      <c r="B556" s="24">
        <v>16</v>
      </c>
      <c r="C556" s="23" t="s">
        <v>404</v>
      </c>
      <c r="D556" s="23" t="s">
        <v>747</v>
      </c>
      <c r="E556" s="24">
        <v>710</v>
      </c>
      <c r="F556" s="24"/>
      <c r="G556" s="24"/>
      <c r="H556" s="24"/>
      <c r="I556" s="24"/>
      <c r="J556" s="24">
        <f t="shared" si="17"/>
        <v>710</v>
      </c>
      <c r="K556" s="24">
        <f t="shared" si="18"/>
        <v>0</v>
      </c>
    </row>
    <row r="557" spans="1:11">
      <c r="A557" s="35"/>
      <c r="B557" s="24">
        <v>17</v>
      </c>
      <c r="C557" s="23" t="s">
        <v>405</v>
      </c>
      <c r="D557" s="23" t="s">
        <v>746</v>
      </c>
      <c r="E557" s="24"/>
      <c r="F557" s="24"/>
      <c r="G557" s="24"/>
      <c r="H557" s="24"/>
      <c r="I557" s="24"/>
      <c r="J557" s="24" t="str">
        <f t="shared" si="17"/>
        <v/>
      </c>
      <c r="K557" s="24">
        <f t="shared" si="18"/>
        <v>710</v>
      </c>
    </row>
    <row r="558" spans="1:11">
      <c r="A558" s="35"/>
      <c r="B558" s="24">
        <v>18</v>
      </c>
      <c r="C558" s="23" t="s">
        <v>406</v>
      </c>
      <c r="D558" s="23" t="s">
        <v>746</v>
      </c>
      <c r="E558" s="24">
        <v>500</v>
      </c>
      <c r="F558" s="24"/>
      <c r="G558" s="24"/>
      <c r="H558" s="24"/>
      <c r="I558" s="24"/>
      <c r="J558" s="24">
        <f t="shared" si="17"/>
        <v>500</v>
      </c>
      <c r="K558" s="24">
        <f t="shared" si="18"/>
        <v>210</v>
      </c>
    </row>
    <row r="559" spans="1:11">
      <c r="A559" s="35"/>
      <c r="B559" s="24">
        <v>19</v>
      </c>
      <c r="C559" s="23" t="s">
        <v>407</v>
      </c>
      <c r="D559" s="23" t="s">
        <v>746</v>
      </c>
      <c r="E559" s="24">
        <v>710</v>
      </c>
      <c r="F559" s="24"/>
      <c r="G559" s="24"/>
      <c r="H559" s="24"/>
      <c r="I559" s="24"/>
      <c r="J559" s="24">
        <f t="shared" si="17"/>
        <v>710</v>
      </c>
      <c r="K559" s="24">
        <f t="shared" si="18"/>
        <v>0</v>
      </c>
    </row>
    <row r="560" spans="1:11">
      <c r="A560" s="35"/>
      <c r="B560" s="24">
        <v>20</v>
      </c>
      <c r="C560" s="23" t="s">
        <v>408</v>
      </c>
      <c r="D560" s="23" t="s">
        <v>746</v>
      </c>
      <c r="E560" s="24">
        <v>10</v>
      </c>
      <c r="F560" s="24"/>
      <c r="G560" s="24"/>
      <c r="H560" s="24"/>
      <c r="I560" s="24"/>
      <c r="J560" s="24">
        <f t="shared" si="17"/>
        <v>10</v>
      </c>
      <c r="K560" s="24">
        <f t="shared" si="18"/>
        <v>700</v>
      </c>
    </row>
    <row r="561" spans="1:11">
      <c r="A561" s="35"/>
      <c r="B561" s="24">
        <v>21</v>
      </c>
      <c r="C561" s="23" t="s">
        <v>409</v>
      </c>
      <c r="D561" s="23" t="s">
        <v>746</v>
      </c>
      <c r="E561" s="24">
        <v>100</v>
      </c>
      <c r="F561" s="24">
        <v>100</v>
      </c>
      <c r="G561" s="24">
        <v>150</v>
      </c>
      <c r="H561" s="24">
        <v>200</v>
      </c>
      <c r="I561" s="24"/>
      <c r="J561" s="24">
        <f t="shared" si="17"/>
        <v>550</v>
      </c>
      <c r="K561" s="24">
        <f t="shared" si="18"/>
        <v>160</v>
      </c>
    </row>
    <row r="562" spans="1:11">
      <c r="A562" s="35"/>
      <c r="B562" s="24">
        <v>22</v>
      </c>
      <c r="C562" s="23" t="s">
        <v>410</v>
      </c>
      <c r="D562" s="23" t="s">
        <v>746</v>
      </c>
      <c r="E562" s="24"/>
      <c r="F562" s="24"/>
      <c r="G562" s="24"/>
      <c r="H562" s="24"/>
      <c r="I562" s="24"/>
      <c r="J562" s="24" t="str">
        <f t="shared" si="17"/>
        <v/>
      </c>
      <c r="K562" s="24">
        <f t="shared" si="18"/>
        <v>710</v>
      </c>
    </row>
    <row r="563" spans="1:11">
      <c r="A563" s="35"/>
      <c r="B563" s="24">
        <v>23</v>
      </c>
      <c r="C563" s="23"/>
      <c r="D563" s="23" t="s">
        <v>746</v>
      </c>
      <c r="E563" s="24"/>
      <c r="F563" s="24"/>
      <c r="G563" s="24"/>
      <c r="H563" s="24"/>
      <c r="I563" s="24"/>
      <c r="J563" s="24" t="str">
        <f t="shared" si="17"/>
        <v/>
      </c>
      <c r="K563" s="24">
        <f t="shared" si="18"/>
        <v>710</v>
      </c>
    </row>
    <row r="564" spans="1:11">
      <c r="A564" s="35"/>
      <c r="B564" s="24">
        <v>24</v>
      </c>
      <c r="C564" s="23"/>
      <c r="D564" s="23"/>
      <c r="E564" s="24"/>
      <c r="F564" s="24"/>
      <c r="G564" s="24"/>
      <c r="H564" s="24"/>
      <c r="I564" s="24"/>
      <c r="J564" s="24" t="str">
        <f t="shared" si="17"/>
        <v/>
      </c>
      <c r="K564" s="24">
        <f t="shared" si="18"/>
        <v>710</v>
      </c>
    </row>
    <row r="565" spans="1:11">
      <c r="A565" s="35"/>
      <c r="B565" s="24">
        <v>25</v>
      </c>
      <c r="C565" s="23"/>
      <c r="D565" s="23"/>
      <c r="E565" s="24"/>
      <c r="F565" s="24"/>
      <c r="G565" s="24"/>
      <c r="H565" s="24"/>
      <c r="I565" s="24"/>
      <c r="J565" s="24" t="str">
        <f t="shared" si="17"/>
        <v/>
      </c>
      <c r="K565" s="24">
        <f t="shared" si="18"/>
        <v>710</v>
      </c>
    </row>
    <row r="566" spans="1:11">
      <c r="A566" s="35"/>
      <c r="B566" s="24">
        <v>26</v>
      </c>
      <c r="C566" s="23"/>
      <c r="D566" s="23"/>
      <c r="E566" s="24"/>
      <c r="F566" s="24"/>
      <c r="G566" s="24"/>
      <c r="H566" s="24"/>
      <c r="I566" s="24"/>
      <c r="J566" s="24" t="str">
        <f t="shared" si="17"/>
        <v/>
      </c>
      <c r="K566" s="24">
        <f t="shared" si="18"/>
        <v>710</v>
      </c>
    </row>
    <row r="567" spans="1:11">
      <c r="A567" s="35"/>
      <c r="B567" s="24">
        <v>27</v>
      </c>
      <c r="C567" s="23"/>
      <c r="D567" s="23"/>
      <c r="E567" s="24"/>
      <c r="F567" s="24"/>
      <c r="G567" s="24"/>
      <c r="H567" s="24"/>
      <c r="I567" s="24"/>
      <c r="J567" s="24" t="str">
        <f t="shared" si="17"/>
        <v/>
      </c>
      <c r="K567" s="24">
        <f t="shared" si="18"/>
        <v>710</v>
      </c>
    </row>
    <row r="568" spans="1:11">
      <c r="A568" s="35"/>
      <c r="B568" s="24">
        <v>28</v>
      </c>
      <c r="C568" s="23"/>
      <c r="D568" s="23"/>
      <c r="E568" s="24"/>
      <c r="F568" s="24"/>
      <c r="G568" s="24"/>
      <c r="H568" s="24"/>
      <c r="I568" s="24"/>
      <c r="J568" s="24" t="str">
        <f t="shared" si="17"/>
        <v/>
      </c>
      <c r="K568" s="24">
        <f t="shared" si="18"/>
        <v>710</v>
      </c>
    </row>
    <row r="569" spans="1:11">
      <c r="A569" s="35"/>
      <c r="B569" s="24">
        <v>29</v>
      </c>
      <c r="C569" s="23"/>
      <c r="D569" s="23"/>
      <c r="E569" s="24"/>
      <c r="F569" s="24"/>
      <c r="G569" s="24"/>
      <c r="H569" s="24"/>
      <c r="I569" s="24"/>
      <c r="J569" s="24" t="str">
        <f t="shared" si="17"/>
        <v/>
      </c>
      <c r="K569" s="24">
        <f t="shared" si="18"/>
        <v>710</v>
      </c>
    </row>
    <row r="570" spans="1:11">
      <c r="A570" s="35"/>
      <c r="B570" s="24">
        <v>30</v>
      </c>
      <c r="C570" s="23"/>
      <c r="D570" s="23"/>
      <c r="E570" s="24"/>
      <c r="F570" s="24"/>
      <c r="G570" s="24"/>
      <c r="H570" s="24"/>
      <c r="I570" s="24"/>
      <c r="J570" s="24" t="str">
        <f t="shared" si="17"/>
        <v/>
      </c>
      <c r="K570" s="24">
        <f t="shared" si="18"/>
        <v>710</v>
      </c>
    </row>
    <row r="571" spans="1:11">
      <c r="A571" s="35"/>
      <c r="B571" s="24">
        <v>31</v>
      </c>
      <c r="C571" s="23"/>
      <c r="D571" s="23"/>
      <c r="E571" s="24"/>
      <c r="F571" s="24"/>
      <c r="G571" s="24"/>
      <c r="H571" s="24"/>
      <c r="I571" s="24"/>
      <c r="J571" s="24" t="str">
        <f t="shared" si="17"/>
        <v/>
      </c>
      <c r="K571" s="24">
        <f t="shared" si="18"/>
        <v>710</v>
      </c>
    </row>
    <row r="572" spans="1:11">
      <c r="A572" s="35"/>
      <c r="B572" s="24">
        <v>32</v>
      </c>
      <c r="C572" s="23"/>
      <c r="D572" s="23"/>
      <c r="E572" s="24"/>
      <c r="F572" s="24"/>
      <c r="G572" s="24"/>
      <c r="H572" s="24"/>
      <c r="I572" s="24"/>
      <c r="J572" s="24" t="str">
        <f t="shared" si="17"/>
        <v/>
      </c>
      <c r="K572" s="24">
        <f t="shared" si="18"/>
        <v>710</v>
      </c>
    </row>
    <row r="573" spans="1:11">
      <c r="A573" s="35"/>
      <c r="B573" s="24">
        <v>33</v>
      </c>
      <c r="C573" s="23"/>
      <c r="D573" s="23"/>
      <c r="E573" s="24"/>
      <c r="F573" s="24"/>
      <c r="G573" s="24"/>
      <c r="H573" s="24"/>
      <c r="I573" s="24"/>
      <c r="J573" s="24" t="str">
        <f t="shared" si="17"/>
        <v/>
      </c>
      <c r="K573" s="24">
        <f t="shared" si="18"/>
        <v>710</v>
      </c>
    </row>
    <row r="574" spans="1:11">
      <c r="A574" s="35"/>
      <c r="B574" s="24">
        <v>34</v>
      </c>
      <c r="C574" s="23"/>
      <c r="D574" s="23"/>
      <c r="E574" s="24"/>
      <c r="F574" s="24"/>
      <c r="G574" s="24"/>
      <c r="H574" s="24"/>
      <c r="I574" s="24"/>
      <c r="J574" s="24" t="str">
        <f t="shared" si="17"/>
        <v/>
      </c>
      <c r="K574" s="24">
        <f t="shared" si="18"/>
        <v>710</v>
      </c>
    </row>
    <row r="575" spans="1:11">
      <c r="A575" s="35"/>
      <c r="B575" s="24">
        <v>35</v>
      </c>
      <c r="C575" s="23"/>
      <c r="D575" s="23"/>
      <c r="E575" s="24"/>
      <c r="F575" s="24"/>
      <c r="G575" s="24"/>
      <c r="H575" s="24"/>
      <c r="I575" s="24"/>
      <c r="J575" s="24" t="str">
        <f t="shared" si="17"/>
        <v/>
      </c>
      <c r="K575" s="24">
        <f t="shared" si="18"/>
        <v>710</v>
      </c>
    </row>
    <row r="576" spans="1:11">
      <c r="A576" s="35"/>
      <c r="B576" s="24">
        <v>36</v>
      </c>
      <c r="C576" s="23"/>
      <c r="D576" s="23"/>
      <c r="E576" s="24"/>
      <c r="F576" s="24"/>
      <c r="G576" s="24"/>
      <c r="H576" s="24"/>
      <c r="I576" s="24"/>
      <c r="J576" s="24" t="str">
        <f t="shared" si="17"/>
        <v/>
      </c>
      <c r="K576" s="24">
        <f t="shared" si="18"/>
        <v>710</v>
      </c>
    </row>
    <row r="577" spans="1:11">
      <c r="A577" s="35"/>
      <c r="B577" s="24">
        <v>37</v>
      </c>
      <c r="C577" s="23"/>
      <c r="D577" s="23"/>
      <c r="E577" s="24"/>
      <c r="F577" s="24"/>
      <c r="G577" s="24"/>
      <c r="H577" s="24"/>
      <c r="I577" s="24"/>
      <c r="J577" s="24" t="str">
        <f t="shared" si="17"/>
        <v/>
      </c>
      <c r="K577" s="24">
        <f t="shared" si="18"/>
        <v>710</v>
      </c>
    </row>
    <row r="578" spans="1:11">
      <c r="A578" s="35"/>
      <c r="B578" s="24">
        <v>38</v>
      </c>
      <c r="C578" s="23"/>
      <c r="D578" s="23"/>
      <c r="E578" s="24"/>
      <c r="F578" s="24"/>
      <c r="G578" s="24"/>
      <c r="H578" s="24"/>
      <c r="I578" s="24"/>
      <c r="J578" s="24" t="str">
        <f t="shared" si="17"/>
        <v/>
      </c>
      <c r="K578" s="24">
        <f t="shared" si="18"/>
        <v>710</v>
      </c>
    </row>
    <row r="579" spans="1:11">
      <c r="A579" s="35"/>
      <c r="B579" s="24">
        <v>39</v>
      </c>
      <c r="C579" s="23"/>
      <c r="D579" s="23"/>
      <c r="E579" s="24"/>
      <c r="F579" s="24"/>
      <c r="G579" s="24"/>
      <c r="H579" s="24"/>
      <c r="I579" s="24"/>
      <c r="J579" s="24" t="str">
        <f t="shared" si="17"/>
        <v/>
      </c>
      <c r="K579" s="24">
        <f t="shared" si="18"/>
        <v>710</v>
      </c>
    </row>
    <row r="580" spans="1:11">
      <c r="A580" s="35"/>
      <c r="B580" s="24">
        <v>40</v>
      </c>
      <c r="C580" s="23"/>
      <c r="D580" s="23"/>
      <c r="E580" s="24"/>
      <c r="F580" s="24"/>
      <c r="G580" s="24"/>
      <c r="H580" s="24"/>
      <c r="I580" s="24"/>
      <c r="J580" s="24" t="str">
        <f t="shared" si="17"/>
        <v/>
      </c>
      <c r="K580" s="24">
        <f t="shared" si="18"/>
        <v>710</v>
      </c>
    </row>
    <row r="581" spans="1:11">
      <c r="A581" s="35"/>
      <c r="B581" s="24">
        <v>41</v>
      </c>
      <c r="C581" s="23"/>
      <c r="D581" s="23"/>
      <c r="E581" s="24"/>
      <c r="F581" s="24"/>
      <c r="G581" s="24"/>
      <c r="H581" s="24"/>
      <c r="I581" s="24"/>
      <c r="J581" s="24" t="str">
        <f t="shared" si="17"/>
        <v/>
      </c>
      <c r="K581" s="24">
        <f t="shared" si="18"/>
        <v>710</v>
      </c>
    </row>
    <row r="582" spans="1:11">
      <c r="A582" s="35"/>
      <c r="B582" s="24">
        <v>42</v>
      </c>
      <c r="C582" s="23"/>
      <c r="D582" s="23"/>
      <c r="E582" s="24"/>
      <c r="F582" s="24"/>
      <c r="G582" s="24"/>
      <c r="H582" s="24"/>
      <c r="I582" s="24"/>
      <c r="J582" s="24" t="str">
        <f t="shared" si="17"/>
        <v/>
      </c>
      <c r="K582" s="24">
        <f t="shared" si="18"/>
        <v>710</v>
      </c>
    </row>
    <row r="583" spans="1:11">
      <c r="A583" s="35"/>
      <c r="B583" s="24">
        <v>43</v>
      </c>
      <c r="C583" s="23"/>
      <c r="D583" s="23"/>
      <c r="E583" s="24"/>
      <c r="F583" s="24"/>
      <c r="G583" s="24"/>
      <c r="H583" s="24"/>
      <c r="I583" s="24"/>
      <c r="J583" s="24" t="str">
        <f t="shared" si="17"/>
        <v/>
      </c>
      <c r="K583" s="24">
        <f t="shared" si="18"/>
        <v>710</v>
      </c>
    </row>
    <row r="584" spans="1:11">
      <c r="A584" s="35"/>
      <c r="B584" s="24">
        <v>44</v>
      </c>
      <c r="C584" s="23"/>
      <c r="D584" s="23"/>
      <c r="E584" s="24"/>
      <c r="F584" s="24"/>
      <c r="G584" s="24"/>
      <c r="H584" s="24"/>
      <c r="I584" s="24"/>
      <c r="J584" s="24" t="str">
        <f t="shared" si="17"/>
        <v/>
      </c>
      <c r="K584" s="24">
        <f t="shared" si="18"/>
        <v>710</v>
      </c>
    </row>
    <row r="585" spans="1:11">
      <c r="A585" s="35"/>
      <c r="B585" s="24">
        <v>45</v>
      </c>
      <c r="C585" s="23"/>
      <c r="D585" s="23"/>
      <c r="E585" s="24"/>
      <c r="F585" s="24"/>
      <c r="G585" s="24"/>
      <c r="H585" s="24"/>
      <c r="I585" s="24"/>
      <c r="J585" s="24" t="str">
        <f t="shared" si="17"/>
        <v/>
      </c>
      <c r="K585" s="24">
        <f t="shared" si="18"/>
        <v>710</v>
      </c>
    </row>
    <row r="586" spans="1:11">
      <c r="A586" s="35"/>
      <c r="B586" s="24">
        <v>46</v>
      </c>
      <c r="C586" s="23"/>
      <c r="D586" s="23"/>
      <c r="E586" s="24"/>
      <c r="F586" s="24"/>
      <c r="G586" s="24"/>
      <c r="H586" s="24"/>
      <c r="I586" s="24"/>
      <c r="J586" s="24" t="str">
        <f t="shared" si="17"/>
        <v/>
      </c>
      <c r="K586" s="24">
        <f t="shared" si="18"/>
        <v>710</v>
      </c>
    </row>
    <row r="587" spans="1:11">
      <c r="A587" s="35"/>
      <c r="B587" s="24">
        <v>47</v>
      </c>
      <c r="C587" s="23"/>
      <c r="D587" s="23"/>
      <c r="E587" s="24"/>
      <c r="F587" s="24"/>
      <c r="G587" s="24"/>
      <c r="H587" s="24"/>
      <c r="I587" s="24"/>
      <c r="J587" s="24" t="str">
        <f t="shared" si="17"/>
        <v/>
      </c>
      <c r="K587" s="24">
        <f t="shared" si="18"/>
        <v>710</v>
      </c>
    </row>
    <row r="588" spans="1:11">
      <c r="A588" s="35"/>
      <c r="B588" s="24">
        <v>48</v>
      </c>
      <c r="C588" s="23"/>
      <c r="D588" s="23"/>
      <c r="E588" s="24"/>
      <c r="F588" s="24"/>
      <c r="G588" s="24"/>
      <c r="H588" s="24"/>
      <c r="I588" s="24"/>
      <c r="J588" s="24" t="str">
        <f t="shared" si="17"/>
        <v/>
      </c>
      <c r="K588" s="24">
        <f t="shared" si="18"/>
        <v>710</v>
      </c>
    </row>
    <row r="589" spans="1:11">
      <c r="A589" s="35"/>
      <c r="B589" s="24">
        <v>49</v>
      </c>
      <c r="C589" s="23"/>
      <c r="D589" s="23"/>
      <c r="E589" s="24"/>
      <c r="F589" s="24"/>
      <c r="G589" s="24"/>
      <c r="H589" s="24"/>
      <c r="I589" s="24"/>
      <c r="J589" s="24" t="str">
        <f t="shared" si="17"/>
        <v/>
      </c>
      <c r="K589" s="24">
        <f t="shared" si="18"/>
        <v>710</v>
      </c>
    </row>
    <row r="590" spans="1:11">
      <c r="A590" s="35"/>
      <c r="B590" s="24">
        <v>50</v>
      </c>
      <c r="C590" s="23"/>
      <c r="D590" s="23"/>
      <c r="E590" s="24"/>
      <c r="F590" s="24"/>
      <c r="G590" s="24"/>
      <c r="H590" s="24"/>
      <c r="I590" s="24"/>
      <c r="J590" s="24" t="str">
        <f t="shared" si="17"/>
        <v/>
      </c>
      <c r="K590" s="24">
        <f t="shared" si="18"/>
        <v>710</v>
      </c>
    </row>
    <row r="591" spans="1:11">
      <c r="A591" s="35"/>
      <c r="B591" s="24">
        <v>51</v>
      </c>
      <c r="C591" s="23"/>
      <c r="D591" s="23"/>
      <c r="E591" s="24"/>
      <c r="F591" s="24"/>
      <c r="G591" s="24"/>
      <c r="H591" s="24"/>
      <c r="I591" s="24"/>
      <c r="J591" s="24" t="str">
        <f t="shared" si="17"/>
        <v/>
      </c>
      <c r="K591" s="24">
        <f t="shared" si="18"/>
        <v>710</v>
      </c>
    </row>
    <row r="592" spans="1:11">
      <c r="A592" s="35"/>
      <c r="B592" s="24">
        <v>52</v>
      </c>
      <c r="C592" s="23"/>
      <c r="D592" s="23"/>
      <c r="E592" s="24"/>
      <c r="F592" s="24"/>
      <c r="G592" s="24"/>
      <c r="H592" s="24"/>
      <c r="I592" s="24"/>
      <c r="J592" s="24" t="str">
        <f t="shared" si="17"/>
        <v/>
      </c>
      <c r="K592" s="24">
        <f t="shared" si="18"/>
        <v>710</v>
      </c>
    </row>
    <row r="593" spans="1:11">
      <c r="A593" s="35"/>
      <c r="B593" s="24">
        <v>53</v>
      </c>
      <c r="C593" s="23"/>
      <c r="D593" s="23"/>
      <c r="E593" s="24"/>
      <c r="F593" s="24"/>
      <c r="G593" s="24"/>
      <c r="H593" s="24"/>
      <c r="I593" s="24"/>
      <c r="J593" s="24" t="str">
        <f t="shared" si="17"/>
        <v/>
      </c>
      <c r="K593" s="24">
        <f t="shared" si="18"/>
        <v>710</v>
      </c>
    </row>
    <row r="594" spans="1:11">
      <c r="A594" s="35"/>
      <c r="B594" s="24">
        <v>54</v>
      </c>
      <c r="C594" s="23"/>
      <c r="D594" s="23"/>
      <c r="E594" s="24"/>
      <c r="F594" s="24"/>
      <c r="G594" s="24"/>
      <c r="H594" s="24"/>
      <c r="I594" s="24"/>
      <c r="J594" s="24" t="str">
        <f t="shared" si="17"/>
        <v/>
      </c>
      <c r="K594" s="24">
        <f t="shared" si="18"/>
        <v>710</v>
      </c>
    </row>
    <row r="595" spans="1:11">
      <c r="A595" s="35"/>
      <c r="B595" s="24">
        <v>55</v>
      </c>
      <c r="C595" s="23"/>
      <c r="D595" s="23"/>
      <c r="E595" s="24"/>
      <c r="F595" s="24"/>
      <c r="G595" s="24"/>
      <c r="H595" s="24"/>
      <c r="I595" s="24"/>
      <c r="J595" s="24" t="str">
        <f t="shared" si="17"/>
        <v/>
      </c>
      <c r="K595" s="24">
        <f t="shared" si="18"/>
        <v>710</v>
      </c>
    </row>
    <row r="596" spans="1:11">
      <c r="A596" s="35"/>
      <c r="B596" s="24">
        <v>56</v>
      </c>
      <c r="C596" s="23"/>
      <c r="D596" s="23"/>
      <c r="E596" s="24"/>
      <c r="F596" s="24"/>
      <c r="G596" s="24"/>
      <c r="H596" s="24"/>
      <c r="I596" s="24"/>
      <c r="J596" s="24" t="str">
        <f t="shared" si="17"/>
        <v/>
      </c>
      <c r="K596" s="24">
        <f t="shared" si="18"/>
        <v>710</v>
      </c>
    </row>
    <row r="597" spans="1:11">
      <c r="A597" s="35"/>
      <c r="B597" s="24">
        <v>57</v>
      </c>
      <c r="C597" s="23"/>
      <c r="D597" s="23"/>
      <c r="E597" s="24"/>
      <c r="F597" s="24"/>
      <c r="G597" s="24"/>
      <c r="H597" s="24"/>
      <c r="I597" s="24"/>
      <c r="J597" s="24" t="str">
        <f t="shared" si="17"/>
        <v/>
      </c>
      <c r="K597" s="24">
        <f t="shared" si="18"/>
        <v>710</v>
      </c>
    </row>
    <row r="598" spans="1:11">
      <c r="A598" s="35"/>
      <c r="B598" s="24">
        <v>58</v>
      </c>
      <c r="C598" s="23"/>
      <c r="D598" s="23"/>
      <c r="E598" s="24"/>
      <c r="F598" s="24"/>
      <c r="G598" s="24"/>
      <c r="H598" s="24"/>
      <c r="I598" s="24"/>
      <c r="J598" s="24" t="str">
        <f t="shared" si="17"/>
        <v/>
      </c>
      <c r="K598" s="24">
        <f t="shared" si="18"/>
        <v>710</v>
      </c>
    </row>
    <row r="599" spans="1:11">
      <c r="A599" s="35"/>
      <c r="B599" s="24">
        <v>59</v>
      </c>
      <c r="C599" s="23"/>
      <c r="D599" s="23"/>
      <c r="E599" s="24"/>
      <c r="F599" s="24"/>
      <c r="G599" s="24"/>
      <c r="H599" s="24"/>
      <c r="I599" s="24"/>
      <c r="J599" s="24" t="str">
        <f t="shared" si="17"/>
        <v/>
      </c>
      <c r="K599" s="24">
        <f t="shared" si="18"/>
        <v>710</v>
      </c>
    </row>
    <row r="600" spans="1:11">
      <c r="A600" s="35"/>
      <c r="B600" s="24">
        <v>60</v>
      </c>
      <c r="C600" s="23"/>
      <c r="D600" s="23"/>
      <c r="E600" s="24"/>
      <c r="F600" s="24"/>
      <c r="G600" s="24"/>
      <c r="H600" s="24"/>
      <c r="I600" s="24"/>
      <c r="J600" s="24" t="str">
        <f t="shared" si="17"/>
        <v/>
      </c>
      <c r="K600" s="24">
        <f t="shared" si="18"/>
        <v>710</v>
      </c>
    </row>
    <row r="601" spans="1:11">
      <c r="A601" s="35"/>
      <c r="B601" s="34"/>
      <c r="C601" s="34"/>
      <c r="D601" s="34"/>
      <c r="E601" s="34"/>
      <c r="F601" s="34"/>
      <c r="G601" s="34"/>
      <c r="H601" s="34"/>
      <c r="I601" s="33" t="s">
        <v>31</v>
      </c>
      <c r="J601" s="33"/>
      <c r="K601" s="24">
        <f>SUM(K541:K600)</f>
        <v>33730</v>
      </c>
    </row>
    <row r="602" spans="1:11">
      <c r="I602" s="27"/>
      <c r="J602" s="27"/>
      <c r="K602" s="24"/>
    </row>
    <row r="603" spans="1:11">
      <c r="I603" s="27"/>
      <c r="J603" s="27"/>
      <c r="K603" s="24"/>
    </row>
    <row r="605" spans="1:11">
      <c r="A605" s="23">
        <v>10</v>
      </c>
      <c r="B605" s="23" t="s">
        <v>0</v>
      </c>
      <c r="C605" s="28" t="str">
        <f>IF('Navigation and Summary'!$B$18="", "", 'Navigation and Summary'!$B$18)</f>
        <v>BASIC 3A</v>
      </c>
      <c r="D605" s="28"/>
      <c r="E605" s="23" t="s">
        <v>37</v>
      </c>
      <c r="F605" s="24">
        <f>IF('Navigation and Summary'!$C$18="", "", 'Navigation and Summary'!$C$18)</f>
        <v>710</v>
      </c>
      <c r="G605" s="23" t="s">
        <v>34</v>
      </c>
      <c r="H605" s="24" t="str">
        <f>IF(C605="", "", 'Navigation and Summary'!$G$6)</f>
        <v>2025-26</v>
      </c>
    </row>
    <row r="606" spans="1:11">
      <c r="A606" s="35"/>
      <c r="B606" s="35" t="s">
        <v>32</v>
      </c>
      <c r="C606" s="35"/>
      <c r="D606" s="35"/>
      <c r="E606" s="35"/>
      <c r="F606" s="35"/>
      <c r="G606" s="35"/>
      <c r="H606" s="35"/>
      <c r="I606" s="23"/>
      <c r="J606" s="23"/>
      <c r="K606" s="23"/>
    </row>
    <row r="607" spans="1:11" ht="28.5">
      <c r="A607" s="35"/>
      <c r="B607" s="25" t="s">
        <v>1</v>
      </c>
      <c r="C607" s="25" t="s">
        <v>2</v>
      </c>
      <c r="D607" s="25" t="s">
        <v>745</v>
      </c>
      <c r="E607" s="25" t="s">
        <v>3</v>
      </c>
      <c r="F607" s="25" t="s">
        <v>4</v>
      </c>
      <c r="G607" s="25" t="s">
        <v>5</v>
      </c>
      <c r="H607" s="25" t="s">
        <v>6</v>
      </c>
      <c r="I607" s="25" t="s">
        <v>7</v>
      </c>
      <c r="J607" s="25" t="s">
        <v>8</v>
      </c>
      <c r="K607" s="25" t="s">
        <v>9</v>
      </c>
    </row>
    <row r="608" spans="1:11">
      <c r="A608" s="35"/>
      <c r="B608" s="24">
        <v>1</v>
      </c>
      <c r="C608" s="23" t="s">
        <v>239</v>
      </c>
      <c r="D608" s="23" t="s">
        <v>747</v>
      </c>
      <c r="E608" s="24">
        <v>150</v>
      </c>
      <c r="F608" s="24">
        <v>200</v>
      </c>
      <c r="G608" s="24"/>
      <c r="H608" s="24"/>
      <c r="I608" s="24"/>
      <c r="J608" s="24">
        <f>IF(SUM(E608:I608)=0, "", SUM(E608:I608))</f>
        <v>350</v>
      </c>
      <c r="K608" s="24">
        <f xml:space="preserve"> IFERROR(IF(($F$605-J608)=0, 0, ($F$605-J608)),$F$605)</f>
        <v>360</v>
      </c>
    </row>
    <row r="609" spans="1:13">
      <c r="A609" s="35"/>
      <c r="B609" s="24">
        <v>2</v>
      </c>
      <c r="C609" s="23" t="s">
        <v>240</v>
      </c>
      <c r="D609" s="23" t="s">
        <v>747</v>
      </c>
      <c r="E609" s="24">
        <v>400</v>
      </c>
      <c r="F609" s="24">
        <v>310</v>
      </c>
      <c r="G609" s="24"/>
      <c r="H609" s="24"/>
      <c r="I609" s="24"/>
      <c r="J609" s="24">
        <f t="shared" ref="J609:J667" si="19">IF(SUM(E609:I609)=0, "", SUM(E609:I609))</f>
        <v>710</v>
      </c>
      <c r="K609" s="24">
        <f t="shared" ref="K609:K667" si="20" xml:space="preserve"> IFERROR(IF(($F$605-J609)=0, 0, ($F$605-J609)),$F$605)</f>
        <v>0</v>
      </c>
    </row>
    <row r="610" spans="1:13">
      <c r="A610" s="35"/>
      <c r="B610" s="24">
        <v>3</v>
      </c>
      <c r="C610" s="23" t="s">
        <v>241</v>
      </c>
      <c r="D610" s="23" t="s">
        <v>746</v>
      </c>
      <c r="E610" s="24">
        <v>600</v>
      </c>
      <c r="F610" s="24"/>
      <c r="G610" s="24"/>
      <c r="H610" s="24"/>
      <c r="I610" s="24"/>
      <c r="J610" s="24">
        <f t="shared" si="19"/>
        <v>600</v>
      </c>
      <c r="K610" s="24">
        <f t="shared" si="20"/>
        <v>110</v>
      </c>
    </row>
    <row r="611" spans="1:13">
      <c r="A611" s="35"/>
      <c r="B611" s="24">
        <v>4</v>
      </c>
      <c r="C611" s="23" t="s">
        <v>266</v>
      </c>
      <c r="D611" s="23" t="s">
        <v>746</v>
      </c>
      <c r="E611" s="24">
        <v>710</v>
      </c>
      <c r="F611" s="24"/>
      <c r="G611" s="24"/>
      <c r="H611" s="24"/>
      <c r="I611" s="24"/>
      <c r="J611" s="24">
        <f t="shared" si="19"/>
        <v>710</v>
      </c>
      <c r="K611" s="24">
        <f t="shared" si="20"/>
        <v>0</v>
      </c>
    </row>
    <row r="612" spans="1:13">
      <c r="A612" s="35"/>
      <c r="B612" s="24">
        <v>5</v>
      </c>
      <c r="C612" s="23" t="s">
        <v>242</v>
      </c>
      <c r="D612" s="23" t="s">
        <v>746</v>
      </c>
      <c r="E612" s="24">
        <v>300</v>
      </c>
      <c r="F612" s="24"/>
      <c r="G612" s="24"/>
      <c r="H612" s="24"/>
      <c r="I612" s="24"/>
      <c r="J612" s="24">
        <f t="shared" si="19"/>
        <v>300</v>
      </c>
      <c r="K612" s="24">
        <f t="shared" si="20"/>
        <v>410</v>
      </c>
    </row>
    <row r="613" spans="1:13">
      <c r="A613" s="35"/>
      <c r="B613" s="24">
        <v>6</v>
      </c>
      <c r="C613" s="23" t="s">
        <v>243</v>
      </c>
      <c r="D613" s="23" t="s">
        <v>746</v>
      </c>
      <c r="E613" s="24">
        <v>710</v>
      </c>
      <c r="F613" s="24"/>
      <c r="G613" s="24"/>
      <c r="H613" s="24"/>
      <c r="I613" s="24"/>
      <c r="J613" s="24">
        <f t="shared" si="19"/>
        <v>710</v>
      </c>
      <c r="K613" s="24">
        <f t="shared" si="20"/>
        <v>0</v>
      </c>
    </row>
    <row r="614" spans="1:13">
      <c r="A614" s="35"/>
      <c r="B614" s="24">
        <v>7</v>
      </c>
      <c r="C614" s="23" t="s">
        <v>244</v>
      </c>
      <c r="D614" s="23" t="s">
        <v>746</v>
      </c>
      <c r="E614" s="24"/>
      <c r="F614" s="24"/>
      <c r="G614" s="24"/>
      <c r="H614" s="24"/>
      <c r="I614" s="24"/>
      <c r="J614" s="24" t="str">
        <f t="shared" si="19"/>
        <v/>
      </c>
      <c r="K614" s="24">
        <f t="shared" si="20"/>
        <v>710</v>
      </c>
    </row>
    <row r="615" spans="1:13">
      <c r="A615" s="35"/>
      <c r="B615" s="24">
        <v>8</v>
      </c>
      <c r="C615" s="23" t="s">
        <v>245</v>
      </c>
      <c r="D615" s="23" t="s">
        <v>746</v>
      </c>
      <c r="E615" s="24">
        <v>300</v>
      </c>
      <c r="F615" s="24"/>
      <c r="G615" s="24"/>
      <c r="H615" s="24"/>
      <c r="I615" s="24"/>
      <c r="J615" s="24">
        <f t="shared" si="19"/>
        <v>300</v>
      </c>
      <c r="K615" s="24">
        <f t="shared" si="20"/>
        <v>410</v>
      </c>
    </row>
    <row r="616" spans="1:13">
      <c r="A616" s="35"/>
      <c r="B616" s="24">
        <v>9</v>
      </c>
      <c r="C616" s="23" t="s">
        <v>694</v>
      </c>
      <c r="D616" s="23" t="s">
        <v>747</v>
      </c>
      <c r="E616" s="24">
        <v>710</v>
      </c>
      <c r="F616" s="24"/>
      <c r="G616" s="24"/>
      <c r="H616" s="24"/>
      <c r="I616" s="24"/>
      <c r="J616" s="24">
        <f t="shared" si="19"/>
        <v>710</v>
      </c>
      <c r="K616" s="24">
        <f t="shared" si="20"/>
        <v>0</v>
      </c>
    </row>
    <row r="617" spans="1:13">
      <c r="A617" s="35"/>
      <c r="B617" s="24">
        <v>10</v>
      </c>
      <c r="C617" s="23" t="s">
        <v>246</v>
      </c>
      <c r="D617" s="23" t="s">
        <v>747</v>
      </c>
      <c r="E617" s="24"/>
      <c r="F617" s="24"/>
      <c r="G617" s="24"/>
      <c r="H617" s="24"/>
      <c r="I617" s="24"/>
      <c r="J617" s="24" t="str">
        <f t="shared" si="19"/>
        <v/>
      </c>
      <c r="K617" s="24">
        <f t="shared" si="20"/>
        <v>710</v>
      </c>
      <c r="M617" s="22" t="s">
        <v>196</v>
      </c>
    </row>
    <row r="618" spans="1:13">
      <c r="A618" s="35"/>
      <c r="B618" s="24">
        <v>11</v>
      </c>
      <c r="C618" s="23" t="s">
        <v>247</v>
      </c>
      <c r="D618" s="23" t="s">
        <v>747</v>
      </c>
      <c r="E618" s="24">
        <v>600</v>
      </c>
      <c r="F618" s="24"/>
      <c r="G618" s="24"/>
      <c r="H618" s="24"/>
      <c r="I618" s="24"/>
      <c r="J618" s="24">
        <f t="shared" si="19"/>
        <v>600</v>
      </c>
      <c r="K618" s="24">
        <f t="shared" si="20"/>
        <v>110</v>
      </c>
    </row>
    <row r="619" spans="1:13">
      <c r="A619" s="35"/>
      <c r="B619" s="24">
        <v>12</v>
      </c>
      <c r="C619" s="23" t="s">
        <v>248</v>
      </c>
      <c r="D619" s="23" t="s">
        <v>746</v>
      </c>
      <c r="E619" s="24"/>
      <c r="F619" s="24"/>
      <c r="G619" s="24"/>
      <c r="H619" s="24"/>
      <c r="I619" s="24"/>
      <c r="J619" s="24" t="str">
        <f t="shared" si="19"/>
        <v/>
      </c>
      <c r="K619" s="24">
        <f t="shared" si="20"/>
        <v>710</v>
      </c>
    </row>
    <row r="620" spans="1:13">
      <c r="A620" s="35"/>
      <c r="B620" s="24">
        <v>13</v>
      </c>
      <c r="C620" s="23" t="s">
        <v>249</v>
      </c>
      <c r="D620" s="23" t="s">
        <v>747</v>
      </c>
      <c r="E620" s="24">
        <v>100</v>
      </c>
      <c r="F620" s="24">
        <v>100</v>
      </c>
      <c r="G620" s="24"/>
      <c r="H620" s="24"/>
      <c r="I620" s="24"/>
      <c r="J620" s="24">
        <f t="shared" si="19"/>
        <v>200</v>
      </c>
      <c r="K620" s="24">
        <f t="shared" si="20"/>
        <v>510</v>
      </c>
    </row>
    <row r="621" spans="1:13">
      <c r="A621" s="35"/>
      <c r="B621" s="24">
        <v>14</v>
      </c>
      <c r="C621" s="23" t="s">
        <v>250</v>
      </c>
      <c r="D621" s="23" t="s">
        <v>747</v>
      </c>
      <c r="E621" s="24">
        <v>100</v>
      </c>
      <c r="F621" s="24">
        <v>100</v>
      </c>
      <c r="G621" s="24"/>
      <c r="H621" s="24"/>
      <c r="I621" s="24"/>
      <c r="J621" s="24">
        <f t="shared" si="19"/>
        <v>200</v>
      </c>
      <c r="K621" s="24">
        <f t="shared" si="20"/>
        <v>510</v>
      </c>
    </row>
    <row r="622" spans="1:13">
      <c r="A622" s="35"/>
      <c r="B622" s="24">
        <v>15</v>
      </c>
      <c r="C622" s="23" t="s">
        <v>251</v>
      </c>
      <c r="D622" s="23" t="s">
        <v>746</v>
      </c>
      <c r="E622" s="24">
        <v>500</v>
      </c>
      <c r="F622" s="24"/>
      <c r="G622" s="24"/>
      <c r="H622" s="24"/>
      <c r="I622" s="24"/>
      <c r="J622" s="24">
        <f t="shared" si="19"/>
        <v>500</v>
      </c>
      <c r="K622" s="24">
        <f t="shared" si="20"/>
        <v>210</v>
      </c>
    </row>
    <row r="623" spans="1:13">
      <c r="A623" s="35"/>
      <c r="B623" s="24">
        <v>16</v>
      </c>
      <c r="C623" s="23" t="s">
        <v>252</v>
      </c>
      <c r="D623" s="23" t="s">
        <v>747</v>
      </c>
      <c r="E623" s="24">
        <v>500</v>
      </c>
      <c r="F623" s="24"/>
      <c r="G623" s="24"/>
      <c r="H623" s="24"/>
      <c r="I623" s="24"/>
      <c r="J623" s="24">
        <f t="shared" si="19"/>
        <v>500</v>
      </c>
      <c r="K623" s="24">
        <f t="shared" si="20"/>
        <v>210</v>
      </c>
    </row>
    <row r="624" spans="1:13">
      <c r="A624" s="35"/>
      <c r="B624" s="24">
        <v>17</v>
      </c>
      <c r="C624" s="23" t="s">
        <v>253</v>
      </c>
      <c r="D624" s="23" t="s">
        <v>746</v>
      </c>
      <c r="E624" s="24">
        <v>300</v>
      </c>
      <c r="F624" s="24">
        <v>100</v>
      </c>
      <c r="G624" s="24">
        <v>310</v>
      </c>
      <c r="H624" s="24"/>
      <c r="I624" s="24"/>
      <c r="J624" s="24">
        <f t="shared" si="19"/>
        <v>710</v>
      </c>
      <c r="K624" s="24">
        <f t="shared" si="20"/>
        <v>0</v>
      </c>
    </row>
    <row r="625" spans="1:11">
      <c r="A625" s="35"/>
      <c r="B625" s="24">
        <v>18</v>
      </c>
      <c r="C625" s="23" t="s">
        <v>254</v>
      </c>
      <c r="D625" s="23" t="s">
        <v>746</v>
      </c>
      <c r="E625" s="24">
        <v>400</v>
      </c>
      <c r="F625" s="24"/>
      <c r="G625" s="24"/>
      <c r="H625" s="24"/>
      <c r="I625" s="24"/>
      <c r="J625" s="24">
        <f t="shared" si="19"/>
        <v>400</v>
      </c>
      <c r="K625" s="24">
        <f t="shared" si="20"/>
        <v>310</v>
      </c>
    </row>
    <row r="626" spans="1:11">
      <c r="A626" s="35"/>
      <c r="B626" s="24">
        <v>19</v>
      </c>
      <c r="C626" s="23" t="s">
        <v>255</v>
      </c>
      <c r="D626" s="23" t="s">
        <v>746</v>
      </c>
      <c r="E626" s="24">
        <v>100</v>
      </c>
      <c r="F626" s="24">
        <v>100</v>
      </c>
      <c r="G626" s="24">
        <v>150</v>
      </c>
      <c r="H626" s="24">
        <v>100</v>
      </c>
      <c r="I626" s="24">
        <v>100</v>
      </c>
      <c r="J626" s="24">
        <f t="shared" si="19"/>
        <v>550</v>
      </c>
      <c r="K626" s="24">
        <f t="shared" si="20"/>
        <v>160</v>
      </c>
    </row>
    <row r="627" spans="1:11">
      <c r="A627" s="35"/>
      <c r="B627" s="24">
        <v>20</v>
      </c>
      <c r="C627" s="23" t="s">
        <v>256</v>
      </c>
      <c r="D627" s="23" t="s">
        <v>747</v>
      </c>
      <c r="E627" s="24">
        <v>200</v>
      </c>
      <c r="F627" s="24"/>
      <c r="G627" s="24"/>
      <c r="H627" s="24"/>
      <c r="I627" s="24"/>
      <c r="J627" s="24">
        <f t="shared" si="19"/>
        <v>200</v>
      </c>
      <c r="K627" s="24">
        <f t="shared" si="20"/>
        <v>510</v>
      </c>
    </row>
    <row r="628" spans="1:11">
      <c r="A628" s="35"/>
      <c r="B628" s="24">
        <v>21</v>
      </c>
      <c r="C628" s="23" t="s">
        <v>257</v>
      </c>
      <c r="D628" s="23" t="s">
        <v>746</v>
      </c>
      <c r="E628" s="24">
        <v>710</v>
      </c>
      <c r="F628" s="24"/>
      <c r="G628" s="24"/>
      <c r="H628" s="24"/>
      <c r="I628" s="24"/>
      <c r="J628" s="24">
        <f t="shared" si="19"/>
        <v>710</v>
      </c>
      <c r="K628" s="24">
        <f t="shared" si="20"/>
        <v>0</v>
      </c>
    </row>
    <row r="629" spans="1:11">
      <c r="A629" s="35"/>
      <c r="B629" s="24">
        <v>22</v>
      </c>
      <c r="C629" s="23" t="s">
        <v>258</v>
      </c>
      <c r="D629" s="23" t="s">
        <v>746</v>
      </c>
      <c r="E629" s="24">
        <v>710</v>
      </c>
      <c r="F629" s="24"/>
      <c r="G629" s="24"/>
      <c r="H629" s="24"/>
      <c r="I629" s="24"/>
      <c r="J629" s="24">
        <f t="shared" si="19"/>
        <v>710</v>
      </c>
      <c r="K629" s="24">
        <f t="shared" si="20"/>
        <v>0</v>
      </c>
    </row>
    <row r="630" spans="1:11">
      <c r="A630" s="35"/>
      <c r="B630" s="24">
        <v>23</v>
      </c>
      <c r="C630" s="23" t="s">
        <v>621</v>
      </c>
      <c r="D630" s="23" t="s">
        <v>747</v>
      </c>
      <c r="E630" s="24">
        <v>300</v>
      </c>
      <c r="F630" s="24"/>
      <c r="G630" s="24"/>
      <c r="H630" s="24"/>
      <c r="I630" s="24"/>
      <c r="J630" s="24">
        <f t="shared" si="19"/>
        <v>300</v>
      </c>
      <c r="K630" s="24">
        <f t="shared" si="20"/>
        <v>410</v>
      </c>
    </row>
    <row r="631" spans="1:11">
      <c r="A631" s="35"/>
      <c r="B631" s="24">
        <v>24</v>
      </c>
      <c r="C631" s="23" t="s">
        <v>260</v>
      </c>
      <c r="D631" s="23" t="s">
        <v>746</v>
      </c>
      <c r="E631" s="24">
        <v>400</v>
      </c>
      <c r="F631" s="24"/>
      <c r="G631" s="24"/>
      <c r="H631" s="24"/>
      <c r="I631" s="24"/>
      <c r="J631" s="24">
        <f t="shared" si="19"/>
        <v>400</v>
      </c>
      <c r="K631" s="24">
        <f t="shared" si="20"/>
        <v>310</v>
      </c>
    </row>
    <row r="632" spans="1:11">
      <c r="A632" s="35"/>
      <c r="B632" s="24">
        <v>25</v>
      </c>
      <c r="C632" s="23" t="s">
        <v>261</v>
      </c>
      <c r="D632" s="23" t="s">
        <v>747</v>
      </c>
      <c r="E632" s="24">
        <v>200</v>
      </c>
      <c r="F632" s="24">
        <v>200</v>
      </c>
      <c r="G632" s="24"/>
      <c r="H632" s="24"/>
      <c r="I632" s="24"/>
      <c r="J632" s="24">
        <f t="shared" si="19"/>
        <v>400</v>
      </c>
      <c r="K632" s="24">
        <f t="shared" si="20"/>
        <v>310</v>
      </c>
    </row>
    <row r="633" spans="1:11">
      <c r="A633" s="35"/>
      <c r="B633" s="24">
        <v>26</v>
      </c>
      <c r="C633" s="23" t="s">
        <v>263</v>
      </c>
      <c r="D633" s="23" t="s">
        <v>747</v>
      </c>
      <c r="E633" s="24">
        <v>500</v>
      </c>
      <c r="F633" s="24"/>
      <c r="G633" s="24"/>
      <c r="H633" s="24"/>
      <c r="I633" s="24"/>
      <c r="J633" s="24">
        <f t="shared" si="19"/>
        <v>500</v>
      </c>
      <c r="K633" s="24">
        <f t="shared" si="20"/>
        <v>210</v>
      </c>
    </row>
    <row r="634" spans="1:11">
      <c r="A634" s="35"/>
      <c r="B634" s="24">
        <v>27</v>
      </c>
      <c r="C634" s="23" t="s">
        <v>264</v>
      </c>
      <c r="D634" s="23" t="s">
        <v>746</v>
      </c>
      <c r="E634" s="24">
        <v>710</v>
      </c>
      <c r="F634" s="24"/>
      <c r="G634" s="24"/>
      <c r="H634" s="24"/>
      <c r="I634" s="24"/>
      <c r="J634" s="24">
        <f t="shared" si="19"/>
        <v>710</v>
      </c>
      <c r="K634" s="24">
        <f t="shared" si="20"/>
        <v>0</v>
      </c>
    </row>
    <row r="635" spans="1:11">
      <c r="A635" s="35"/>
      <c r="B635" s="24">
        <v>28</v>
      </c>
      <c r="C635" s="23" t="s">
        <v>674</v>
      </c>
      <c r="D635" s="23" t="s">
        <v>746</v>
      </c>
      <c r="E635" s="24"/>
      <c r="F635" s="24"/>
      <c r="G635" s="24"/>
      <c r="H635" s="24"/>
      <c r="I635" s="24"/>
      <c r="J635" s="24" t="str">
        <f t="shared" si="19"/>
        <v/>
      </c>
      <c r="K635" s="24">
        <f t="shared" si="20"/>
        <v>710</v>
      </c>
    </row>
    <row r="636" spans="1:11">
      <c r="A636" s="35"/>
      <c r="B636" s="24">
        <v>29</v>
      </c>
      <c r="C636" s="23" t="s">
        <v>265</v>
      </c>
      <c r="D636" s="23" t="s">
        <v>746</v>
      </c>
      <c r="E636" s="24">
        <v>140</v>
      </c>
      <c r="F636" s="24"/>
      <c r="G636" s="24"/>
      <c r="H636" s="24"/>
      <c r="I636" s="24"/>
      <c r="J636" s="24">
        <f t="shared" si="19"/>
        <v>140</v>
      </c>
      <c r="K636" s="24">
        <f t="shared" si="20"/>
        <v>570</v>
      </c>
    </row>
    <row r="637" spans="1:11">
      <c r="A637" s="35"/>
      <c r="B637" s="24">
        <v>30</v>
      </c>
      <c r="C637" s="23"/>
      <c r="D637" s="23"/>
      <c r="E637" s="24"/>
      <c r="F637" s="24"/>
      <c r="G637" s="24"/>
      <c r="H637" s="24"/>
      <c r="I637" s="24"/>
      <c r="J637" s="24" t="str">
        <f t="shared" si="19"/>
        <v/>
      </c>
      <c r="K637" s="24">
        <f t="shared" si="20"/>
        <v>710</v>
      </c>
    </row>
    <row r="638" spans="1:11">
      <c r="A638" s="35"/>
      <c r="B638" s="24">
        <v>31</v>
      </c>
      <c r="C638" s="23"/>
      <c r="D638" s="23"/>
      <c r="E638" s="24"/>
      <c r="F638" s="24"/>
      <c r="G638" s="24"/>
      <c r="H638" s="24"/>
      <c r="I638" s="24"/>
      <c r="J638" s="24" t="str">
        <f t="shared" si="19"/>
        <v/>
      </c>
      <c r="K638" s="24">
        <f t="shared" si="20"/>
        <v>710</v>
      </c>
    </row>
    <row r="639" spans="1:11">
      <c r="A639" s="35"/>
      <c r="B639" s="24">
        <v>32</v>
      </c>
      <c r="C639" s="23"/>
      <c r="D639" s="23"/>
      <c r="E639" s="24"/>
      <c r="F639" s="24"/>
      <c r="G639" s="24"/>
      <c r="H639" s="24"/>
      <c r="I639" s="24"/>
      <c r="J639" s="24" t="str">
        <f t="shared" si="19"/>
        <v/>
      </c>
      <c r="K639" s="24">
        <f t="shared" si="20"/>
        <v>710</v>
      </c>
    </row>
    <row r="640" spans="1:11">
      <c r="A640" s="35"/>
      <c r="B640" s="24">
        <v>33</v>
      </c>
      <c r="C640" s="23"/>
      <c r="D640" s="23"/>
      <c r="E640" s="24"/>
      <c r="F640" s="24"/>
      <c r="G640" s="24"/>
      <c r="H640" s="24"/>
      <c r="I640" s="24"/>
      <c r="J640" s="24" t="str">
        <f t="shared" si="19"/>
        <v/>
      </c>
      <c r="K640" s="24">
        <f t="shared" si="20"/>
        <v>710</v>
      </c>
    </row>
    <row r="641" spans="1:11">
      <c r="A641" s="35"/>
      <c r="B641" s="24">
        <v>34</v>
      </c>
      <c r="C641" s="23"/>
      <c r="D641" s="23"/>
      <c r="E641" s="24"/>
      <c r="F641" s="24"/>
      <c r="G641" s="24"/>
      <c r="H641" s="24"/>
      <c r="I641" s="24"/>
      <c r="J641" s="24" t="str">
        <f t="shared" si="19"/>
        <v/>
      </c>
      <c r="K641" s="24">
        <f t="shared" si="20"/>
        <v>710</v>
      </c>
    </row>
    <row r="642" spans="1:11">
      <c r="A642" s="35"/>
      <c r="B642" s="24">
        <v>35</v>
      </c>
      <c r="C642" s="23"/>
      <c r="D642" s="23"/>
      <c r="E642" s="24"/>
      <c r="F642" s="24"/>
      <c r="G642" s="24"/>
      <c r="H642" s="24"/>
      <c r="I642" s="24"/>
      <c r="J642" s="24" t="str">
        <f t="shared" si="19"/>
        <v/>
      </c>
      <c r="K642" s="24">
        <f t="shared" si="20"/>
        <v>710</v>
      </c>
    </row>
    <row r="643" spans="1:11">
      <c r="A643" s="35"/>
      <c r="B643" s="24">
        <v>36</v>
      </c>
      <c r="C643" s="23"/>
      <c r="D643" s="23"/>
      <c r="E643" s="24"/>
      <c r="F643" s="24"/>
      <c r="G643" s="24"/>
      <c r="H643" s="24"/>
      <c r="I643" s="24"/>
      <c r="J643" s="24" t="str">
        <f t="shared" si="19"/>
        <v/>
      </c>
      <c r="K643" s="24">
        <f t="shared" si="20"/>
        <v>710</v>
      </c>
    </row>
    <row r="644" spans="1:11">
      <c r="A644" s="35"/>
      <c r="B644" s="24">
        <v>37</v>
      </c>
      <c r="C644" s="23"/>
      <c r="D644" s="23"/>
      <c r="E644" s="24"/>
      <c r="F644" s="24"/>
      <c r="G644" s="24"/>
      <c r="H644" s="24"/>
      <c r="I644" s="24"/>
      <c r="J644" s="24" t="str">
        <f t="shared" si="19"/>
        <v/>
      </c>
      <c r="K644" s="24">
        <f t="shared" si="20"/>
        <v>710</v>
      </c>
    </row>
    <row r="645" spans="1:11">
      <c r="A645" s="35"/>
      <c r="B645" s="24">
        <v>38</v>
      </c>
      <c r="C645" s="23"/>
      <c r="D645" s="23"/>
      <c r="E645" s="24"/>
      <c r="F645" s="24"/>
      <c r="G645" s="24"/>
      <c r="H645" s="24"/>
      <c r="I645" s="24"/>
      <c r="J645" s="24" t="str">
        <f t="shared" si="19"/>
        <v/>
      </c>
      <c r="K645" s="24">
        <f t="shared" si="20"/>
        <v>710</v>
      </c>
    </row>
    <row r="646" spans="1:11">
      <c r="A646" s="35"/>
      <c r="B646" s="24">
        <v>39</v>
      </c>
      <c r="C646" s="23"/>
      <c r="D646" s="23"/>
      <c r="E646" s="24"/>
      <c r="F646" s="24"/>
      <c r="G646" s="24"/>
      <c r="H646" s="24"/>
      <c r="I646" s="24"/>
      <c r="J646" s="24" t="str">
        <f t="shared" si="19"/>
        <v/>
      </c>
      <c r="K646" s="24">
        <f t="shared" si="20"/>
        <v>710</v>
      </c>
    </row>
    <row r="647" spans="1:11">
      <c r="A647" s="35"/>
      <c r="B647" s="24">
        <v>40</v>
      </c>
      <c r="C647" s="23"/>
      <c r="D647" s="23"/>
      <c r="E647" s="24"/>
      <c r="F647" s="24"/>
      <c r="G647" s="24"/>
      <c r="H647" s="24"/>
      <c r="I647" s="24"/>
      <c r="J647" s="24" t="str">
        <f t="shared" si="19"/>
        <v/>
      </c>
      <c r="K647" s="24">
        <f t="shared" si="20"/>
        <v>710</v>
      </c>
    </row>
    <row r="648" spans="1:11">
      <c r="A648" s="35"/>
      <c r="B648" s="24">
        <v>41</v>
      </c>
      <c r="C648" s="23"/>
      <c r="D648" s="23"/>
      <c r="E648" s="24"/>
      <c r="F648" s="24"/>
      <c r="G648" s="24"/>
      <c r="H648" s="24"/>
      <c r="I648" s="24"/>
      <c r="J648" s="24" t="str">
        <f t="shared" si="19"/>
        <v/>
      </c>
      <c r="K648" s="24">
        <f t="shared" si="20"/>
        <v>710</v>
      </c>
    </row>
    <row r="649" spans="1:11">
      <c r="A649" s="35"/>
      <c r="B649" s="24">
        <v>42</v>
      </c>
      <c r="C649" s="23"/>
      <c r="D649" s="23"/>
      <c r="E649" s="24"/>
      <c r="F649" s="24"/>
      <c r="G649" s="24"/>
      <c r="H649" s="24"/>
      <c r="I649" s="24"/>
      <c r="J649" s="24" t="str">
        <f t="shared" si="19"/>
        <v/>
      </c>
      <c r="K649" s="24">
        <f t="shared" si="20"/>
        <v>710</v>
      </c>
    </row>
    <row r="650" spans="1:11">
      <c r="A650" s="35"/>
      <c r="B650" s="24">
        <v>43</v>
      </c>
      <c r="C650" s="23"/>
      <c r="D650" s="23"/>
      <c r="E650" s="24"/>
      <c r="F650" s="24"/>
      <c r="G650" s="24"/>
      <c r="H650" s="24"/>
      <c r="I650" s="24"/>
      <c r="J650" s="24" t="str">
        <f t="shared" si="19"/>
        <v/>
      </c>
      <c r="K650" s="24">
        <f t="shared" si="20"/>
        <v>710</v>
      </c>
    </row>
    <row r="651" spans="1:11">
      <c r="A651" s="35"/>
      <c r="B651" s="24">
        <v>44</v>
      </c>
      <c r="C651" s="23"/>
      <c r="D651" s="23"/>
      <c r="E651" s="24"/>
      <c r="F651" s="24"/>
      <c r="G651" s="24"/>
      <c r="H651" s="24"/>
      <c r="I651" s="24"/>
      <c r="J651" s="24" t="str">
        <f t="shared" si="19"/>
        <v/>
      </c>
      <c r="K651" s="24">
        <f t="shared" si="20"/>
        <v>710</v>
      </c>
    </row>
    <row r="652" spans="1:11">
      <c r="A652" s="35"/>
      <c r="B652" s="24">
        <v>45</v>
      </c>
      <c r="C652" s="23"/>
      <c r="D652" s="23"/>
      <c r="E652" s="24"/>
      <c r="F652" s="24"/>
      <c r="G652" s="24"/>
      <c r="H652" s="24"/>
      <c r="I652" s="24"/>
      <c r="J652" s="24" t="str">
        <f t="shared" si="19"/>
        <v/>
      </c>
      <c r="K652" s="24">
        <f t="shared" si="20"/>
        <v>710</v>
      </c>
    </row>
    <row r="653" spans="1:11">
      <c r="A653" s="35"/>
      <c r="B653" s="24">
        <v>46</v>
      </c>
      <c r="C653" s="23"/>
      <c r="D653" s="23"/>
      <c r="E653" s="24"/>
      <c r="F653" s="24"/>
      <c r="G653" s="24"/>
      <c r="H653" s="24"/>
      <c r="I653" s="24"/>
      <c r="J653" s="24" t="str">
        <f t="shared" si="19"/>
        <v/>
      </c>
      <c r="K653" s="24">
        <f t="shared" si="20"/>
        <v>710</v>
      </c>
    </row>
    <row r="654" spans="1:11">
      <c r="A654" s="35"/>
      <c r="B654" s="24">
        <v>47</v>
      </c>
      <c r="C654" s="23"/>
      <c r="D654" s="23"/>
      <c r="E654" s="24"/>
      <c r="F654" s="24"/>
      <c r="G654" s="24"/>
      <c r="H654" s="24"/>
      <c r="I654" s="24"/>
      <c r="J654" s="24" t="str">
        <f t="shared" si="19"/>
        <v/>
      </c>
      <c r="K654" s="24">
        <f t="shared" si="20"/>
        <v>710</v>
      </c>
    </row>
    <row r="655" spans="1:11">
      <c r="A655" s="35"/>
      <c r="B655" s="24">
        <v>48</v>
      </c>
      <c r="C655" s="23"/>
      <c r="D655" s="23"/>
      <c r="E655" s="24"/>
      <c r="F655" s="24"/>
      <c r="G655" s="24"/>
      <c r="H655" s="24"/>
      <c r="I655" s="24"/>
      <c r="J655" s="24" t="str">
        <f t="shared" si="19"/>
        <v/>
      </c>
      <c r="K655" s="24">
        <f t="shared" si="20"/>
        <v>710</v>
      </c>
    </row>
    <row r="656" spans="1:11">
      <c r="A656" s="35"/>
      <c r="B656" s="24">
        <v>49</v>
      </c>
      <c r="C656" s="23"/>
      <c r="D656" s="23"/>
      <c r="E656" s="24"/>
      <c r="F656" s="24"/>
      <c r="G656" s="24"/>
      <c r="H656" s="24"/>
      <c r="I656" s="24"/>
      <c r="J656" s="24" t="str">
        <f t="shared" si="19"/>
        <v/>
      </c>
      <c r="K656" s="24">
        <f t="shared" si="20"/>
        <v>710</v>
      </c>
    </row>
    <row r="657" spans="1:11">
      <c r="A657" s="35"/>
      <c r="B657" s="24">
        <v>50</v>
      </c>
      <c r="C657" s="23"/>
      <c r="D657" s="23"/>
      <c r="E657" s="24"/>
      <c r="F657" s="24"/>
      <c r="G657" s="24"/>
      <c r="H657" s="24"/>
      <c r="I657" s="24"/>
      <c r="J657" s="24" t="str">
        <f t="shared" si="19"/>
        <v/>
      </c>
      <c r="K657" s="24">
        <f t="shared" si="20"/>
        <v>710</v>
      </c>
    </row>
    <row r="658" spans="1:11">
      <c r="A658" s="35"/>
      <c r="B658" s="24">
        <v>51</v>
      </c>
      <c r="C658" s="23"/>
      <c r="D658" s="23"/>
      <c r="E658" s="24"/>
      <c r="F658" s="24"/>
      <c r="G658" s="24"/>
      <c r="H658" s="24"/>
      <c r="I658" s="24"/>
      <c r="J658" s="24" t="str">
        <f t="shared" si="19"/>
        <v/>
      </c>
      <c r="K658" s="24">
        <f t="shared" si="20"/>
        <v>710</v>
      </c>
    </row>
    <row r="659" spans="1:11">
      <c r="A659" s="35"/>
      <c r="B659" s="24">
        <v>52</v>
      </c>
      <c r="C659" s="23"/>
      <c r="D659" s="23"/>
      <c r="E659" s="24"/>
      <c r="F659" s="24"/>
      <c r="G659" s="24"/>
      <c r="H659" s="24"/>
      <c r="I659" s="24"/>
      <c r="J659" s="24" t="str">
        <f t="shared" si="19"/>
        <v/>
      </c>
      <c r="K659" s="24">
        <f t="shared" si="20"/>
        <v>710</v>
      </c>
    </row>
    <row r="660" spans="1:11">
      <c r="A660" s="35"/>
      <c r="B660" s="24">
        <v>53</v>
      </c>
      <c r="C660" s="23"/>
      <c r="D660" s="23"/>
      <c r="E660" s="24"/>
      <c r="F660" s="24"/>
      <c r="G660" s="24"/>
      <c r="H660" s="24"/>
      <c r="I660" s="24"/>
      <c r="J660" s="24" t="str">
        <f t="shared" si="19"/>
        <v/>
      </c>
      <c r="K660" s="24">
        <f t="shared" si="20"/>
        <v>710</v>
      </c>
    </row>
    <row r="661" spans="1:11">
      <c r="A661" s="35"/>
      <c r="B661" s="24">
        <v>54</v>
      </c>
      <c r="C661" s="23"/>
      <c r="D661" s="23"/>
      <c r="E661" s="24"/>
      <c r="F661" s="24"/>
      <c r="G661" s="24"/>
      <c r="H661" s="24"/>
      <c r="I661" s="24"/>
      <c r="J661" s="24" t="str">
        <f t="shared" si="19"/>
        <v/>
      </c>
      <c r="K661" s="24">
        <f t="shared" si="20"/>
        <v>710</v>
      </c>
    </row>
    <row r="662" spans="1:11">
      <c r="A662" s="35"/>
      <c r="B662" s="24">
        <v>55</v>
      </c>
      <c r="C662" s="23"/>
      <c r="D662" s="23"/>
      <c r="E662" s="24"/>
      <c r="F662" s="24"/>
      <c r="G662" s="24"/>
      <c r="H662" s="24"/>
      <c r="I662" s="24"/>
      <c r="J662" s="24" t="str">
        <f t="shared" si="19"/>
        <v/>
      </c>
      <c r="K662" s="24">
        <f t="shared" si="20"/>
        <v>710</v>
      </c>
    </row>
    <row r="663" spans="1:11">
      <c r="A663" s="35"/>
      <c r="B663" s="24">
        <v>56</v>
      </c>
      <c r="C663" s="23"/>
      <c r="D663" s="23"/>
      <c r="E663" s="24"/>
      <c r="F663" s="24"/>
      <c r="G663" s="24"/>
      <c r="H663" s="24"/>
      <c r="I663" s="24"/>
      <c r="J663" s="24" t="str">
        <f t="shared" si="19"/>
        <v/>
      </c>
      <c r="K663" s="24">
        <f t="shared" si="20"/>
        <v>710</v>
      </c>
    </row>
    <row r="664" spans="1:11">
      <c r="A664" s="35"/>
      <c r="B664" s="24">
        <v>57</v>
      </c>
      <c r="C664" s="23"/>
      <c r="D664" s="23"/>
      <c r="E664" s="24"/>
      <c r="F664" s="24"/>
      <c r="G664" s="24"/>
      <c r="H664" s="24"/>
      <c r="I664" s="24"/>
      <c r="J664" s="24" t="str">
        <f t="shared" si="19"/>
        <v/>
      </c>
      <c r="K664" s="24">
        <f t="shared" si="20"/>
        <v>710</v>
      </c>
    </row>
    <row r="665" spans="1:11">
      <c r="A665" s="35"/>
      <c r="B665" s="24">
        <v>58</v>
      </c>
      <c r="C665" s="23"/>
      <c r="D665" s="23"/>
      <c r="E665" s="24"/>
      <c r="F665" s="24"/>
      <c r="G665" s="24"/>
      <c r="H665" s="24"/>
      <c r="I665" s="24"/>
      <c r="J665" s="24" t="str">
        <f t="shared" si="19"/>
        <v/>
      </c>
      <c r="K665" s="24">
        <f t="shared" si="20"/>
        <v>710</v>
      </c>
    </row>
    <row r="666" spans="1:11">
      <c r="A666" s="35"/>
      <c r="B666" s="24">
        <v>59</v>
      </c>
      <c r="C666" s="23"/>
      <c r="D666" s="23"/>
      <c r="E666" s="24"/>
      <c r="F666" s="24"/>
      <c r="G666" s="24"/>
      <c r="H666" s="24"/>
      <c r="I666" s="24"/>
      <c r="J666" s="24" t="str">
        <f t="shared" si="19"/>
        <v/>
      </c>
      <c r="K666" s="24">
        <f t="shared" si="20"/>
        <v>710</v>
      </c>
    </row>
    <row r="667" spans="1:11">
      <c r="A667" s="35"/>
      <c r="B667" s="24">
        <v>60</v>
      </c>
      <c r="C667" s="23"/>
      <c r="D667" s="23"/>
      <c r="E667" s="24"/>
      <c r="F667" s="24"/>
      <c r="G667" s="24"/>
      <c r="H667" s="24"/>
      <c r="I667" s="24"/>
      <c r="J667" s="24" t="str">
        <f t="shared" si="19"/>
        <v/>
      </c>
      <c r="K667" s="24">
        <f t="shared" si="20"/>
        <v>710</v>
      </c>
    </row>
    <row r="668" spans="1:11">
      <c r="A668" s="35"/>
      <c r="B668" s="34"/>
      <c r="C668" s="34"/>
      <c r="D668" s="34"/>
      <c r="E668" s="34"/>
      <c r="F668" s="34"/>
      <c r="G668" s="34"/>
      <c r="H668" s="34"/>
      <c r="I668" s="33" t="s">
        <v>31</v>
      </c>
      <c r="J668" s="33"/>
      <c r="K668" s="24">
        <f>SUM(K608:K667)</f>
        <v>30480</v>
      </c>
    </row>
    <row r="669" spans="1:11">
      <c r="I669" s="27"/>
      <c r="J669" s="27"/>
      <c r="K669" s="24"/>
    </row>
    <row r="672" spans="1:11">
      <c r="A672" s="23">
        <v>11</v>
      </c>
      <c r="B672" s="23" t="s">
        <v>0</v>
      </c>
      <c r="C672" s="28" t="str">
        <f>IF('Navigation and Summary'!$B$19="", "", 'Navigation and Summary'!$B$19)</f>
        <v>BASIC 3B</v>
      </c>
      <c r="D672" s="28"/>
      <c r="E672" s="23" t="s">
        <v>37</v>
      </c>
      <c r="F672" s="24">
        <f>IF('Navigation and Summary'!$C$19="", "", 'Navigation and Summary'!$C$19)</f>
        <v>710</v>
      </c>
      <c r="G672" s="23" t="s">
        <v>34</v>
      </c>
      <c r="H672" s="24" t="str">
        <f>IF(C672="", "", 'Navigation and Summary'!$G$6)</f>
        <v>2025-26</v>
      </c>
    </row>
    <row r="673" spans="1:11">
      <c r="A673" s="35"/>
      <c r="B673" s="35" t="s">
        <v>32</v>
      </c>
      <c r="C673" s="35"/>
      <c r="D673" s="35"/>
      <c r="E673" s="35"/>
      <c r="F673" s="35"/>
      <c r="G673" s="35"/>
      <c r="H673" s="35"/>
      <c r="I673" s="23"/>
      <c r="J673" s="23"/>
      <c r="K673" s="23"/>
    </row>
    <row r="674" spans="1:11" ht="28.5">
      <c r="A674" s="35"/>
      <c r="B674" s="25" t="s">
        <v>1</v>
      </c>
      <c r="C674" s="25" t="s">
        <v>2</v>
      </c>
      <c r="D674" s="25" t="s">
        <v>745</v>
      </c>
      <c r="E674" s="25" t="s">
        <v>3</v>
      </c>
      <c r="F674" s="25" t="s">
        <v>4</v>
      </c>
      <c r="G674" s="25" t="s">
        <v>5</v>
      </c>
      <c r="H674" s="25" t="s">
        <v>6</v>
      </c>
      <c r="I674" s="25" t="s">
        <v>7</v>
      </c>
      <c r="J674" s="25" t="s">
        <v>8</v>
      </c>
      <c r="K674" s="25" t="s">
        <v>9</v>
      </c>
    </row>
    <row r="675" spans="1:11">
      <c r="A675" s="35"/>
      <c r="B675" s="24">
        <v>1</v>
      </c>
      <c r="C675" s="23" t="s">
        <v>267</v>
      </c>
      <c r="D675" s="23" t="s">
        <v>747</v>
      </c>
      <c r="E675" s="24">
        <v>600</v>
      </c>
      <c r="F675" s="24"/>
      <c r="G675" s="24"/>
      <c r="H675" s="24"/>
      <c r="I675" s="24"/>
      <c r="J675" s="24">
        <f>IF(SUM(E675:I675)=0, "", SUM(E675:I675))</f>
        <v>600</v>
      </c>
      <c r="K675" s="24">
        <f xml:space="preserve"> IFERROR(IF(($F$672-J675)=0, 0, ($F$672-J675)),$F$672)</f>
        <v>110</v>
      </c>
    </row>
    <row r="676" spans="1:11">
      <c r="A676" s="35"/>
      <c r="B676" s="24">
        <v>2</v>
      </c>
      <c r="C676" s="23" t="s">
        <v>291</v>
      </c>
      <c r="D676" s="23" t="s">
        <v>746</v>
      </c>
      <c r="E676" s="24">
        <v>300</v>
      </c>
      <c r="F676" s="24">
        <v>400</v>
      </c>
      <c r="G676" s="24">
        <v>10</v>
      </c>
      <c r="H676" s="24"/>
      <c r="I676" s="24"/>
      <c r="J676" s="24">
        <f t="shared" ref="J676:J734" si="21">IF(SUM(E676:I676)=0, "", SUM(E676:I676))</f>
        <v>710</v>
      </c>
      <c r="K676" s="24">
        <f t="shared" ref="K676:K734" si="22" xml:space="preserve"> IFERROR(IF(($F$672-J676)=0, 0, ($F$672-J676)),$F$672)</f>
        <v>0</v>
      </c>
    </row>
    <row r="677" spans="1:11">
      <c r="A677" s="35"/>
      <c r="B677" s="24">
        <v>3</v>
      </c>
      <c r="C677" s="23" t="s">
        <v>269</v>
      </c>
      <c r="D677" s="23" t="s">
        <v>747</v>
      </c>
      <c r="E677" s="24">
        <v>710</v>
      </c>
      <c r="F677" s="24"/>
      <c r="G677" s="24"/>
      <c r="H677" s="24"/>
      <c r="I677" s="24"/>
      <c r="J677" s="24">
        <f t="shared" si="21"/>
        <v>710</v>
      </c>
      <c r="K677" s="24">
        <f t="shared" si="22"/>
        <v>0</v>
      </c>
    </row>
    <row r="678" spans="1:11">
      <c r="A678" s="35"/>
      <c r="B678" s="24">
        <v>4</v>
      </c>
      <c r="C678" s="23" t="s">
        <v>723</v>
      </c>
      <c r="D678" s="23" t="s">
        <v>746</v>
      </c>
      <c r="E678" s="24">
        <v>500</v>
      </c>
      <c r="F678" s="24"/>
      <c r="G678" s="24"/>
      <c r="H678" s="24"/>
      <c r="I678" s="24"/>
      <c r="J678" s="24">
        <f t="shared" si="21"/>
        <v>500</v>
      </c>
      <c r="K678" s="24">
        <f t="shared" si="22"/>
        <v>210</v>
      </c>
    </row>
    <row r="679" spans="1:11">
      <c r="A679" s="35"/>
      <c r="B679" s="24">
        <v>5</v>
      </c>
      <c r="C679" s="23" t="s">
        <v>270</v>
      </c>
      <c r="D679" s="23" t="s">
        <v>747</v>
      </c>
      <c r="E679" s="24">
        <v>550</v>
      </c>
      <c r="F679" s="24"/>
      <c r="G679" s="24"/>
      <c r="H679" s="24"/>
      <c r="I679" s="24"/>
      <c r="J679" s="24">
        <f t="shared" si="21"/>
        <v>550</v>
      </c>
      <c r="K679" s="24">
        <f t="shared" si="22"/>
        <v>160</v>
      </c>
    </row>
    <row r="680" spans="1:11">
      <c r="A680" s="35"/>
      <c r="B680" s="24">
        <v>6</v>
      </c>
      <c r="C680" s="23" t="s">
        <v>271</v>
      </c>
      <c r="D680" s="23" t="s">
        <v>747</v>
      </c>
      <c r="E680" s="24">
        <v>200</v>
      </c>
      <c r="F680" s="24">
        <v>300</v>
      </c>
      <c r="G680" s="24"/>
      <c r="H680" s="24"/>
      <c r="I680" s="24"/>
      <c r="J680" s="24">
        <f t="shared" si="21"/>
        <v>500</v>
      </c>
      <c r="K680" s="24">
        <f t="shared" si="22"/>
        <v>210</v>
      </c>
    </row>
    <row r="681" spans="1:11">
      <c r="A681" s="35"/>
      <c r="B681" s="24">
        <v>7</v>
      </c>
      <c r="C681" s="23" t="s">
        <v>272</v>
      </c>
      <c r="D681" s="23" t="s">
        <v>746</v>
      </c>
      <c r="E681" s="24">
        <v>300</v>
      </c>
      <c r="F681" s="24">
        <v>300</v>
      </c>
      <c r="G681" s="24"/>
      <c r="H681" s="24"/>
      <c r="I681" s="24"/>
      <c r="J681" s="24">
        <f t="shared" si="21"/>
        <v>600</v>
      </c>
      <c r="K681" s="24">
        <f t="shared" si="22"/>
        <v>110</v>
      </c>
    </row>
    <row r="682" spans="1:11">
      <c r="A682" s="35"/>
      <c r="B682" s="24">
        <v>8</v>
      </c>
      <c r="C682" s="23" t="s">
        <v>273</v>
      </c>
      <c r="D682" s="23" t="s">
        <v>747</v>
      </c>
      <c r="E682" s="24">
        <v>200</v>
      </c>
      <c r="F682" s="24"/>
      <c r="G682" s="24"/>
      <c r="H682" s="24"/>
      <c r="I682" s="24"/>
      <c r="J682" s="24">
        <f t="shared" si="21"/>
        <v>200</v>
      </c>
      <c r="K682" s="24">
        <f t="shared" si="22"/>
        <v>510</v>
      </c>
    </row>
    <row r="683" spans="1:11">
      <c r="A683" s="35"/>
      <c r="B683" s="24">
        <v>9</v>
      </c>
      <c r="C683" s="23" t="s">
        <v>274</v>
      </c>
      <c r="D683" s="23" t="s">
        <v>747</v>
      </c>
      <c r="E683" s="24">
        <v>510</v>
      </c>
      <c r="F683" s="24">
        <v>200</v>
      </c>
      <c r="G683" s="24"/>
      <c r="H683" s="24"/>
      <c r="I683" s="24"/>
      <c r="J683" s="24">
        <f t="shared" si="21"/>
        <v>710</v>
      </c>
      <c r="K683" s="24">
        <f t="shared" si="22"/>
        <v>0</v>
      </c>
    </row>
    <row r="684" spans="1:11">
      <c r="A684" s="35"/>
      <c r="B684" s="24">
        <v>10</v>
      </c>
      <c r="C684" s="23" t="s">
        <v>275</v>
      </c>
      <c r="D684" s="23" t="s">
        <v>746</v>
      </c>
      <c r="E684" s="24">
        <v>710</v>
      </c>
      <c r="F684" s="24"/>
      <c r="G684" s="24"/>
      <c r="H684" s="24"/>
      <c r="I684" s="24"/>
      <c r="J684" s="24">
        <f t="shared" si="21"/>
        <v>710</v>
      </c>
      <c r="K684" s="24">
        <f t="shared" si="22"/>
        <v>0</v>
      </c>
    </row>
    <row r="685" spans="1:11">
      <c r="A685" s="35"/>
      <c r="B685" s="24">
        <v>11</v>
      </c>
      <c r="C685" s="23" t="s">
        <v>276</v>
      </c>
      <c r="D685" s="23" t="s">
        <v>747</v>
      </c>
      <c r="E685" s="24"/>
      <c r="F685" s="24"/>
      <c r="G685" s="24"/>
      <c r="H685" s="24"/>
      <c r="I685" s="24"/>
      <c r="J685" s="24" t="str">
        <f t="shared" si="21"/>
        <v/>
      </c>
      <c r="K685" s="24">
        <f t="shared" si="22"/>
        <v>710</v>
      </c>
    </row>
    <row r="686" spans="1:11">
      <c r="A686" s="35"/>
      <c r="B686" s="24">
        <v>12</v>
      </c>
      <c r="C686" s="23" t="s">
        <v>724</v>
      </c>
      <c r="D686" s="23" t="s">
        <v>746</v>
      </c>
      <c r="E686" s="24">
        <v>500</v>
      </c>
      <c r="F686" s="24">
        <v>210</v>
      </c>
      <c r="G686" s="24"/>
      <c r="H686" s="24"/>
      <c r="I686" s="24"/>
      <c r="J686" s="24">
        <f t="shared" si="21"/>
        <v>710</v>
      </c>
      <c r="K686" s="24">
        <f t="shared" si="22"/>
        <v>0</v>
      </c>
    </row>
    <row r="687" spans="1:11">
      <c r="A687" s="35"/>
      <c r="B687" s="24">
        <v>13</v>
      </c>
      <c r="C687" s="23" t="s">
        <v>277</v>
      </c>
      <c r="D687" s="23" t="s">
        <v>747</v>
      </c>
      <c r="E687" s="24">
        <v>400</v>
      </c>
      <c r="F687" s="24"/>
      <c r="G687" s="24"/>
      <c r="H687" s="24"/>
      <c r="I687" s="24"/>
      <c r="J687" s="24">
        <f t="shared" si="21"/>
        <v>400</v>
      </c>
      <c r="K687" s="24">
        <f t="shared" si="22"/>
        <v>310</v>
      </c>
    </row>
    <row r="688" spans="1:11">
      <c r="A688" s="35"/>
      <c r="B688" s="24">
        <v>14</v>
      </c>
      <c r="C688" s="23" t="s">
        <v>278</v>
      </c>
      <c r="D688" s="23" t="s">
        <v>746</v>
      </c>
      <c r="E688" s="24">
        <v>710</v>
      </c>
      <c r="F688" s="24"/>
      <c r="G688" s="24"/>
      <c r="H688" s="24"/>
      <c r="I688" s="24"/>
      <c r="J688" s="24">
        <f t="shared" si="21"/>
        <v>710</v>
      </c>
      <c r="K688" s="24">
        <f t="shared" si="22"/>
        <v>0</v>
      </c>
    </row>
    <row r="689" spans="1:11">
      <c r="A689" s="35"/>
      <c r="B689" s="24">
        <v>15</v>
      </c>
      <c r="C689" s="23" t="s">
        <v>279</v>
      </c>
      <c r="D689" s="23" t="s">
        <v>747</v>
      </c>
      <c r="E689" s="24">
        <v>710</v>
      </c>
      <c r="F689" s="24"/>
      <c r="G689" s="24"/>
      <c r="H689" s="24"/>
      <c r="I689" s="24"/>
      <c r="J689" s="24">
        <f t="shared" si="21"/>
        <v>710</v>
      </c>
      <c r="K689" s="24">
        <f t="shared" si="22"/>
        <v>0</v>
      </c>
    </row>
    <row r="690" spans="1:11">
      <c r="A690" s="35"/>
      <c r="B690" s="24">
        <v>16</v>
      </c>
      <c r="C690" s="23" t="s">
        <v>281</v>
      </c>
      <c r="D690" s="23" t="s">
        <v>746</v>
      </c>
      <c r="E690" s="24">
        <v>500</v>
      </c>
      <c r="F690" s="24"/>
      <c r="G690" s="24"/>
      <c r="H690" s="24"/>
      <c r="I690" s="24"/>
      <c r="J690" s="24">
        <f t="shared" si="21"/>
        <v>500</v>
      </c>
      <c r="K690" s="24">
        <f t="shared" si="22"/>
        <v>210</v>
      </c>
    </row>
    <row r="691" spans="1:11">
      <c r="A691" s="35"/>
      <c r="B691" s="24">
        <v>17</v>
      </c>
      <c r="C691" s="23" t="s">
        <v>282</v>
      </c>
      <c r="D691" s="23" t="s">
        <v>746</v>
      </c>
      <c r="E691" s="24">
        <v>240</v>
      </c>
      <c r="F691" s="24"/>
      <c r="G691" s="24"/>
      <c r="H691" s="24"/>
      <c r="I691" s="24"/>
      <c r="J691" s="24">
        <f t="shared" si="21"/>
        <v>240</v>
      </c>
      <c r="K691" s="24">
        <f t="shared" si="22"/>
        <v>470</v>
      </c>
    </row>
    <row r="692" spans="1:11">
      <c r="A692" s="35"/>
      <c r="B692" s="24">
        <v>18</v>
      </c>
      <c r="C692" s="23" t="s">
        <v>697</v>
      </c>
      <c r="D692" s="23" t="s">
        <v>746</v>
      </c>
      <c r="E692" s="24">
        <v>180</v>
      </c>
      <c r="F692" s="24"/>
      <c r="G692" s="24"/>
      <c r="H692" s="24"/>
      <c r="I692" s="24"/>
      <c r="J692" s="24">
        <f t="shared" si="21"/>
        <v>180</v>
      </c>
      <c r="K692" s="24">
        <f t="shared" si="22"/>
        <v>530</v>
      </c>
    </row>
    <row r="693" spans="1:11">
      <c r="A693" s="35"/>
      <c r="B693" s="24">
        <v>19</v>
      </c>
      <c r="C693" s="23" t="s">
        <v>283</v>
      </c>
      <c r="D693" s="23" t="s">
        <v>746</v>
      </c>
      <c r="E693" s="24">
        <v>500</v>
      </c>
      <c r="F693" s="24"/>
      <c r="G693" s="24"/>
      <c r="H693" s="24"/>
      <c r="I693" s="24"/>
      <c r="J693" s="24">
        <f t="shared" si="21"/>
        <v>500</v>
      </c>
      <c r="K693" s="24">
        <f t="shared" si="22"/>
        <v>210</v>
      </c>
    </row>
    <row r="694" spans="1:11">
      <c r="A694" s="35"/>
      <c r="B694" s="24">
        <v>20</v>
      </c>
      <c r="C694" s="23" t="s">
        <v>284</v>
      </c>
      <c r="D694" s="23" t="s">
        <v>747</v>
      </c>
      <c r="E694" s="24">
        <v>700</v>
      </c>
      <c r="F694" s="24"/>
      <c r="G694" s="24"/>
      <c r="H694" s="24"/>
      <c r="I694" s="24"/>
      <c r="J694" s="24">
        <f t="shared" si="21"/>
        <v>700</v>
      </c>
      <c r="K694" s="24">
        <f t="shared" si="22"/>
        <v>10</v>
      </c>
    </row>
    <row r="695" spans="1:11">
      <c r="A695" s="35"/>
      <c r="B695" s="24">
        <v>21</v>
      </c>
      <c r="C695" s="23" t="s">
        <v>280</v>
      </c>
      <c r="D695" s="23" t="s">
        <v>746</v>
      </c>
      <c r="E695" s="24"/>
      <c r="F695" s="24"/>
      <c r="G695" s="24"/>
      <c r="H695" s="24"/>
      <c r="I695" s="24"/>
      <c r="J695" s="24" t="str">
        <f t="shared" si="21"/>
        <v/>
      </c>
      <c r="K695" s="24">
        <f t="shared" si="22"/>
        <v>710</v>
      </c>
    </row>
    <row r="696" spans="1:11">
      <c r="A696" s="35"/>
      <c r="B696" s="24">
        <v>22</v>
      </c>
      <c r="C696" s="23" t="s">
        <v>285</v>
      </c>
      <c r="D696" s="23" t="s">
        <v>747</v>
      </c>
      <c r="E696" s="24">
        <v>100</v>
      </c>
      <c r="F696" s="24"/>
      <c r="G696" s="24"/>
      <c r="H696" s="24"/>
      <c r="I696" s="24"/>
      <c r="J696" s="24">
        <f t="shared" si="21"/>
        <v>100</v>
      </c>
      <c r="K696" s="24">
        <f t="shared" si="22"/>
        <v>610</v>
      </c>
    </row>
    <row r="697" spans="1:11">
      <c r="A697" s="35"/>
      <c r="B697" s="24">
        <v>23</v>
      </c>
      <c r="C697" s="23" t="s">
        <v>286</v>
      </c>
      <c r="D697" s="23" t="s">
        <v>746</v>
      </c>
      <c r="E697" s="24">
        <v>300</v>
      </c>
      <c r="F697" s="24">
        <v>200</v>
      </c>
      <c r="G697" s="24"/>
      <c r="H697" s="24"/>
      <c r="I697" s="24"/>
      <c r="J697" s="24">
        <f t="shared" si="21"/>
        <v>500</v>
      </c>
      <c r="K697" s="24">
        <f t="shared" si="22"/>
        <v>210</v>
      </c>
    </row>
    <row r="698" spans="1:11">
      <c r="A698" s="35"/>
      <c r="B698" s="24">
        <v>24</v>
      </c>
      <c r="C698" s="23" t="s">
        <v>287</v>
      </c>
      <c r="D698" s="23" t="s">
        <v>746</v>
      </c>
      <c r="E698" s="24">
        <v>400</v>
      </c>
      <c r="F698" s="24">
        <v>310</v>
      </c>
      <c r="G698" s="24"/>
      <c r="H698" s="24"/>
      <c r="I698" s="24"/>
      <c r="J698" s="24">
        <f t="shared" si="21"/>
        <v>710</v>
      </c>
      <c r="K698" s="24">
        <f t="shared" si="22"/>
        <v>0</v>
      </c>
    </row>
    <row r="699" spans="1:11">
      <c r="A699" s="35"/>
      <c r="B699" s="24">
        <v>25</v>
      </c>
      <c r="C699" s="23" t="s">
        <v>288</v>
      </c>
      <c r="D699" s="23" t="s">
        <v>746</v>
      </c>
      <c r="E699" s="24">
        <v>150</v>
      </c>
      <c r="F699" s="24"/>
      <c r="G699" s="24"/>
      <c r="H699" s="24"/>
      <c r="I699" s="24"/>
      <c r="J699" s="24">
        <f t="shared" si="21"/>
        <v>150</v>
      </c>
      <c r="K699" s="24">
        <f t="shared" si="22"/>
        <v>560</v>
      </c>
    </row>
    <row r="700" spans="1:11">
      <c r="A700" s="35"/>
      <c r="B700" s="24">
        <v>26</v>
      </c>
      <c r="C700" s="23" t="s">
        <v>289</v>
      </c>
      <c r="D700" s="23" t="s">
        <v>746</v>
      </c>
      <c r="E700" s="24">
        <v>200</v>
      </c>
      <c r="F700" s="24">
        <v>200</v>
      </c>
      <c r="G700" s="24"/>
      <c r="H700" s="24"/>
      <c r="I700" s="24"/>
      <c r="J700" s="24">
        <f t="shared" si="21"/>
        <v>400</v>
      </c>
      <c r="K700" s="24">
        <f t="shared" si="22"/>
        <v>310</v>
      </c>
    </row>
    <row r="701" spans="1:11">
      <c r="A701" s="35"/>
      <c r="B701" s="24">
        <v>27</v>
      </c>
      <c r="C701" s="23" t="s">
        <v>704</v>
      </c>
      <c r="D701" s="23" t="s">
        <v>746</v>
      </c>
      <c r="E701" s="24">
        <v>400</v>
      </c>
      <c r="F701" s="24"/>
      <c r="G701" s="24"/>
      <c r="H701" s="24"/>
      <c r="I701" s="24"/>
      <c r="J701" s="24">
        <f t="shared" si="21"/>
        <v>400</v>
      </c>
      <c r="K701" s="24">
        <f t="shared" si="22"/>
        <v>310</v>
      </c>
    </row>
    <row r="702" spans="1:11">
      <c r="A702" s="35"/>
      <c r="B702" s="24">
        <v>28</v>
      </c>
      <c r="C702" s="23" t="s">
        <v>290</v>
      </c>
      <c r="D702" s="23" t="s">
        <v>746</v>
      </c>
      <c r="E702" s="24">
        <v>400</v>
      </c>
      <c r="F702" s="24"/>
      <c r="G702" s="24"/>
      <c r="H702" s="24"/>
      <c r="I702" s="24"/>
      <c r="J702" s="24">
        <f t="shared" si="21"/>
        <v>400</v>
      </c>
      <c r="K702" s="24">
        <f t="shared" si="22"/>
        <v>310</v>
      </c>
    </row>
    <row r="703" spans="1:11">
      <c r="A703" s="35"/>
      <c r="B703" s="24">
        <v>29</v>
      </c>
      <c r="C703" s="23" t="s">
        <v>725</v>
      </c>
      <c r="D703" s="23" t="s">
        <v>746</v>
      </c>
      <c r="E703" s="24">
        <v>200</v>
      </c>
      <c r="F703" s="24"/>
      <c r="G703" s="24"/>
      <c r="H703" s="24"/>
      <c r="I703" s="24"/>
      <c r="J703" s="24">
        <f t="shared" si="21"/>
        <v>200</v>
      </c>
      <c r="K703" s="24">
        <f t="shared" si="22"/>
        <v>510</v>
      </c>
    </row>
    <row r="704" spans="1:11">
      <c r="A704" s="35"/>
      <c r="B704" s="24">
        <v>30</v>
      </c>
      <c r="C704" s="23" t="s">
        <v>730</v>
      </c>
      <c r="D704" s="23" t="s">
        <v>747</v>
      </c>
      <c r="E704" s="24">
        <v>710</v>
      </c>
      <c r="F704" s="24"/>
      <c r="G704" s="24"/>
      <c r="H704" s="24"/>
      <c r="I704" s="24"/>
      <c r="J704" s="24">
        <f t="shared" si="21"/>
        <v>710</v>
      </c>
      <c r="K704" s="24">
        <f t="shared" si="22"/>
        <v>0</v>
      </c>
    </row>
    <row r="705" spans="1:11">
      <c r="A705" s="35"/>
      <c r="B705" s="24">
        <v>31</v>
      </c>
      <c r="C705" s="23"/>
      <c r="D705" s="23"/>
      <c r="E705" s="24"/>
      <c r="F705" s="24"/>
      <c r="G705" s="24"/>
      <c r="H705" s="24"/>
      <c r="I705" s="24"/>
      <c r="J705" s="24" t="str">
        <f t="shared" si="21"/>
        <v/>
      </c>
      <c r="K705" s="24">
        <f t="shared" si="22"/>
        <v>710</v>
      </c>
    </row>
    <row r="706" spans="1:11">
      <c r="A706" s="35"/>
      <c r="B706" s="24">
        <v>32</v>
      </c>
      <c r="C706" s="23"/>
      <c r="D706" s="23"/>
      <c r="E706" s="24"/>
      <c r="F706" s="24"/>
      <c r="G706" s="24"/>
      <c r="H706" s="24"/>
      <c r="I706" s="24"/>
      <c r="J706" s="24" t="str">
        <f t="shared" si="21"/>
        <v/>
      </c>
      <c r="K706" s="24">
        <f t="shared" si="22"/>
        <v>710</v>
      </c>
    </row>
    <row r="707" spans="1:11">
      <c r="A707" s="35"/>
      <c r="B707" s="24">
        <v>33</v>
      </c>
      <c r="C707" s="23"/>
      <c r="D707" s="23"/>
      <c r="E707" s="24"/>
      <c r="F707" s="24"/>
      <c r="G707" s="24"/>
      <c r="H707" s="24"/>
      <c r="I707" s="24"/>
      <c r="J707" s="24" t="str">
        <f t="shared" si="21"/>
        <v/>
      </c>
      <c r="K707" s="24">
        <f t="shared" si="22"/>
        <v>710</v>
      </c>
    </row>
    <row r="708" spans="1:11">
      <c r="A708" s="35"/>
      <c r="B708" s="24">
        <v>34</v>
      </c>
      <c r="C708" s="23"/>
      <c r="D708" s="23"/>
      <c r="E708" s="24"/>
      <c r="F708" s="24"/>
      <c r="G708" s="24"/>
      <c r="H708" s="24"/>
      <c r="I708" s="24"/>
      <c r="J708" s="24" t="str">
        <f t="shared" si="21"/>
        <v/>
      </c>
      <c r="K708" s="24">
        <f t="shared" si="22"/>
        <v>710</v>
      </c>
    </row>
    <row r="709" spans="1:11">
      <c r="A709" s="35"/>
      <c r="B709" s="24">
        <v>35</v>
      </c>
      <c r="C709" s="23"/>
      <c r="D709" s="23"/>
      <c r="E709" s="24"/>
      <c r="F709" s="24"/>
      <c r="G709" s="24"/>
      <c r="H709" s="24"/>
      <c r="I709" s="24"/>
      <c r="J709" s="24" t="str">
        <f t="shared" si="21"/>
        <v/>
      </c>
      <c r="K709" s="24">
        <f t="shared" si="22"/>
        <v>710</v>
      </c>
    </row>
    <row r="710" spans="1:11">
      <c r="A710" s="35"/>
      <c r="B710" s="24">
        <v>36</v>
      </c>
      <c r="C710" s="23"/>
      <c r="D710" s="23"/>
      <c r="E710" s="24"/>
      <c r="F710" s="24"/>
      <c r="G710" s="24"/>
      <c r="H710" s="24"/>
      <c r="I710" s="24"/>
      <c r="J710" s="24" t="str">
        <f t="shared" si="21"/>
        <v/>
      </c>
      <c r="K710" s="24">
        <f t="shared" si="22"/>
        <v>710</v>
      </c>
    </row>
    <row r="711" spans="1:11">
      <c r="A711" s="35"/>
      <c r="B711" s="24">
        <v>37</v>
      </c>
      <c r="C711" s="23"/>
      <c r="D711" s="23"/>
      <c r="E711" s="24"/>
      <c r="F711" s="24"/>
      <c r="G711" s="24"/>
      <c r="H711" s="24"/>
      <c r="I711" s="24"/>
      <c r="J711" s="24" t="str">
        <f t="shared" si="21"/>
        <v/>
      </c>
      <c r="K711" s="24">
        <f t="shared" si="22"/>
        <v>710</v>
      </c>
    </row>
    <row r="712" spans="1:11">
      <c r="A712" s="35"/>
      <c r="B712" s="24">
        <v>38</v>
      </c>
      <c r="C712" s="23"/>
      <c r="D712" s="23"/>
      <c r="E712" s="24"/>
      <c r="F712" s="24"/>
      <c r="G712" s="24"/>
      <c r="H712" s="24"/>
      <c r="I712" s="24"/>
      <c r="J712" s="24" t="str">
        <f t="shared" si="21"/>
        <v/>
      </c>
      <c r="K712" s="24">
        <f t="shared" si="22"/>
        <v>710</v>
      </c>
    </row>
    <row r="713" spans="1:11">
      <c r="A713" s="35"/>
      <c r="B713" s="24">
        <v>39</v>
      </c>
      <c r="C713" s="23"/>
      <c r="D713" s="23"/>
      <c r="E713" s="24"/>
      <c r="F713" s="24"/>
      <c r="G713" s="24"/>
      <c r="H713" s="24"/>
      <c r="I713" s="24"/>
      <c r="J713" s="24" t="str">
        <f t="shared" si="21"/>
        <v/>
      </c>
      <c r="K713" s="24">
        <f t="shared" si="22"/>
        <v>710</v>
      </c>
    </row>
    <row r="714" spans="1:11">
      <c r="A714" s="35"/>
      <c r="B714" s="24">
        <v>40</v>
      </c>
      <c r="C714" s="23"/>
      <c r="D714" s="23"/>
      <c r="E714" s="24"/>
      <c r="F714" s="24"/>
      <c r="G714" s="24"/>
      <c r="H714" s="24"/>
      <c r="I714" s="24"/>
      <c r="J714" s="24" t="str">
        <f t="shared" si="21"/>
        <v/>
      </c>
      <c r="K714" s="24">
        <f t="shared" si="22"/>
        <v>710</v>
      </c>
    </row>
    <row r="715" spans="1:11">
      <c r="A715" s="35"/>
      <c r="B715" s="24">
        <v>41</v>
      </c>
      <c r="C715" s="23"/>
      <c r="D715" s="23"/>
      <c r="E715" s="24"/>
      <c r="F715" s="24"/>
      <c r="G715" s="24"/>
      <c r="H715" s="24"/>
      <c r="I715" s="24"/>
      <c r="J715" s="24" t="str">
        <f t="shared" si="21"/>
        <v/>
      </c>
      <c r="K715" s="24">
        <f t="shared" si="22"/>
        <v>710</v>
      </c>
    </row>
    <row r="716" spans="1:11">
      <c r="A716" s="35"/>
      <c r="B716" s="24">
        <v>42</v>
      </c>
      <c r="C716" s="23"/>
      <c r="D716" s="23"/>
      <c r="E716" s="24"/>
      <c r="F716" s="24"/>
      <c r="G716" s="24"/>
      <c r="H716" s="24"/>
      <c r="I716" s="24"/>
      <c r="J716" s="24" t="str">
        <f t="shared" si="21"/>
        <v/>
      </c>
      <c r="K716" s="24">
        <f t="shared" si="22"/>
        <v>710</v>
      </c>
    </row>
    <row r="717" spans="1:11">
      <c r="A717" s="35"/>
      <c r="B717" s="24">
        <v>43</v>
      </c>
      <c r="C717" s="23"/>
      <c r="D717" s="23"/>
      <c r="E717" s="24"/>
      <c r="F717" s="24"/>
      <c r="G717" s="24"/>
      <c r="H717" s="24"/>
      <c r="I717" s="24"/>
      <c r="J717" s="24" t="str">
        <f t="shared" si="21"/>
        <v/>
      </c>
      <c r="K717" s="24">
        <f t="shared" si="22"/>
        <v>710</v>
      </c>
    </row>
    <row r="718" spans="1:11">
      <c r="A718" s="35"/>
      <c r="B718" s="24">
        <v>44</v>
      </c>
      <c r="C718" s="23"/>
      <c r="D718" s="23"/>
      <c r="E718" s="24"/>
      <c r="F718" s="24"/>
      <c r="G718" s="24"/>
      <c r="H718" s="24"/>
      <c r="I718" s="24"/>
      <c r="J718" s="24" t="str">
        <f t="shared" si="21"/>
        <v/>
      </c>
      <c r="K718" s="24">
        <f t="shared" si="22"/>
        <v>710</v>
      </c>
    </row>
    <row r="719" spans="1:11">
      <c r="A719" s="35"/>
      <c r="B719" s="24">
        <v>45</v>
      </c>
      <c r="C719" s="23"/>
      <c r="D719" s="23"/>
      <c r="E719" s="24"/>
      <c r="F719" s="24"/>
      <c r="G719" s="24"/>
      <c r="H719" s="24"/>
      <c r="I719" s="24"/>
      <c r="J719" s="24" t="str">
        <f t="shared" si="21"/>
        <v/>
      </c>
      <c r="K719" s="24">
        <f t="shared" si="22"/>
        <v>710</v>
      </c>
    </row>
    <row r="720" spans="1:11">
      <c r="A720" s="35"/>
      <c r="B720" s="24">
        <v>46</v>
      </c>
      <c r="C720" s="23"/>
      <c r="D720" s="23"/>
      <c r="E720" s="24"/>
      <c r="F720" s="24"/>
      <c r="G720" s="24"/>
      <c r="H720" s="24"/>
      <c r="I720" s="24"/>
      <c r="J720" s="24" t="str">
        <f t="shared" si="21"/>
        <v/>
      </c>
      <c r="K720" s="24">
        <f t="shared" si="22"/>
        <v>710</v>
      </c>
    </row>
    <row r="721" spans="1:11">
      <c r="A721" s="35"/>
      <c r="B721" s="24">
        <v>47</v>
      </c>
      <c r="C721" s="23"/>
      <c r="D721" s="23"/>
      <c r="E721" s="24"/>
      <c r="F721" s="24"/>
      <c r="G721" s="24"/>
      <c r="H721" s="24"/>
      <c r="I721" s="24"/>
      <c r="J721" s="24" t="str">
        <f t="shared" si="21"/>
        <v/>
      </c>
      <c r="K721" s="24">
        <f t="shared" si="22"/>
        <v>710</v>
      </c>
    </row>
    <row r="722" spans="1:11">
      <c r="A722" s="35"/>
      <c r="B722" s="24">
        <v>48</v>
      </c>
      <c r="C722" s="23"/>
      <c r="D722" s="23"/>
      <c r="E722" s="24"/>
      <c r="F722" s="24"/>
      <c r="G722" s="24"/>
      <c r="H722" s="24"/>
      <c r="I722" s="24"/>
      <c r="J722" s="24" t="str">
        <f t="shared" si="21"/>
        <v/>
      </c>
      <c r="K722" s="24">
        <f t="shared" si="22"/>
        <v>710</v>
      </c>
    </row>
    <row r="723" spans="1:11">
      <c r="A723" s="35"/>
      <c r="B723" s="24">
        <v>49</v>
      </c>
      <c r="C723" s="23"/>
      <c r="D723" s="23"/>
      <c r="E723" s="24"/>
      <c r="F723" s="24"/>
      <c r="G723" s="24"/>
      <c r="H723" s="24"/>
      <c r="I723" s="24"/>
      <c r="J723" s="24" t="str">
        <f t="shared" si="21"/>
        <v/>
      </c>
      <c r="K723" s="24">
        <f t="shared" si="22"/>
        <v>710</v>
      </c>
    </row>
    <row r="724" spans="1:11">
      <c r="A724" s="35"/>
      <c r="B724" s="24">
        <v>50</v>
      </c>
      <c r="C724" s="23"/>
      <c r="D724" s="23"/>
      <c r="E724" s="24"/>
      <c r="F724" s="24"/>
      <c r="G724" s="24"/>
      <c r="H724" s="24"/>
      <c r="I724" s="24"/>
      <c r="J724" s="24" t="str">
        <f t="shared" si="21"/>
        <v/>
      </c>
      <c r="K724" s="24">
        <f t="shared" si="22"/>
        <v>710</v>
      </c>
    </row>
    <row r="725" spans="1:11">
      <c r="A725" s="35"/>
      <c r="B725" s="24">
        <v>51</v>
      </c>
      <c r="C725" s="23"/>
      <c r="D725" s="23"/>
      <c r="E725" s="24"/>
      <c r="F725" s="24"/>
      <c r="G725" s="24"/>
      <c r="H725" s="24"/>
      <c r="I725" s="24"/>
      <c r="J725" s="24" t="str">
        <f t="shared" si="21"/>
        <v/>
      </c>
      <c r="K725" s="24">
        <f t="shared" si="22"/>
        <v>710</v>
      </c>
    </row>
    <row r="726" spans="1:11">
      <c r="A726" s="35"/>
      <c r="B726" s="24">
        <v>52</v>
      </c>
      <c r="C726" s="23"/>
      <c r="D726" s="23"/>
      <c r="E726" s="24"/>
      <c r="F726" s="24"/>
      <c r="G726" s="24"/>
      <c r="H726" s="24"/>
      <c r="I726" s="24"/>
      <c r="J726" s="24" t="str">
        <f t="shared" si="21"/>
        <v/>
      </c>
      <c r="K726" s="24">
        <f t="shared" si="22"/>
        <v>710</v>
      </c>
    </row>
    <row r="727" spans="1:11">
      <c r="A727" s="35"/>
      <c r="B727" s="24">
        <v>53</v>
      </c>
      <c r="C727" s="23"/>
      <c r="D727" s="23"/>
      <c r="E727" s="24"/>
      <c r="F727" s="24"/>
      <c r="G727" s="24"/>
      <c r="H727" s="24"/>
      <c r="I727" s="24"/>
      <c r="J727" s="24" t="str">
        <f t="shared" si="21"/>
        <v/>
      </c>
      <c r="K727" s="24">
        <f t="shared" si="22"/>
        <v>710</v>
      </c>
    </row>
    <row r="728" spans="1:11">
      <c r="A728" s="35"/>
      <c r="B728" s="24">
        <v>54</v>
      </c>
      <c r="C728" s="23"/>
      <c r="D728" s="23"/>
      <c r="E728" s="24"/>
      <c r="F728" s="24"/>
      <c r="G728" s="24"/>
      <c r="H728" s="24"/>
      <c r="I728" s="24"/>
      <c r="J728" s="24" t="str">
        <f t="shared" si="21"/>
        <v/>
      </c>
      <c r="K728" s="24">
        <f t="shared" si="22"/>
        <v>710</v>
      </c>
    </row>
    <row r="729" spans="1:11">
      <c r="A729" s="35"/>
      <c r="B729" s="24">
        <v>55</v>
      </c>
      <c r="C729" s="23"/>
      <c r="D729" s="23"/>
      <c r="E729" s="24"/>
      <c r="F729" s="24"/>
      <c r="G729" s="24"/>
      <c r="H729" s="24"/>
      <c r="I729" s="24"/>
      <c r="J729" s="24" t="str">
        <f t="shared" si="21"/>
        <v/>
      </c>
      <c r="K729" s="24">
        <f t="shared" si="22"/>
        <v>710</v>
      </c>
    </row>
    <row r="730" spans="1:11">
      <c r="A730" s="35"/>
      <c r="B730" s="24">
        <v>56</v>
      </c>
      <c r="C730" s="23"/>
      <c r="D730" s="23"/>
      <c r="E730" s="24"/>
      <c r="F730" s="24"/>
      <c r="G730" s="24"/>
      <c r="H730" s="24"/>
      <c r="I730" s="24"/>
      <c r="J730" s="24" t="str">
        <f t="shared" si="21"/>
        <v/>
      </c>
      <c r="K730" s="24">
        <f t="shared" si="22"/>
        <v>710</v>
      </c>
    </row>
    <row r="731" spans="1:11">
      <c r="A731" s="35"/>
      <c r="B731" s="24">
        <v>57</v>
      </c>
      <c r="C731" s="23"/>
      <c r="D731" s="23"/>
      <c r="E731" s="24"/>
      <c r="F731" s="24"/>
      <c r="G731" s="24"/>
      <c r="H731" s="24"/>
      <c r="I731" s="24"/>
      <c r="J731" s="24" t="str">
        <f t="shared" si="21"/>
        <v/>
      </c>
      <c r="K731" s="24">
        <f t="shared" si="22"/>
        <v>710</v>
      </c>
    </row>
    <row r="732" spans="1:11">
      <c r="A732" s="35"/>
      <c r="B732" s="24">
        <v>58</v>
      </c>
      <c r="C732" s="23"/>
      <c r="D732" s="23"/>
      <c r="E732" s="24"/>
      <c r="F732" s="24"/>
      <c r="G732" s="24"/>
      <c r="H732" s="24"/>
      <c r="I732" s="24"/>
      <c r="J732" s="24" t="str">
        <f t="shared" si="21"/>
        <v/>
      </c>
      <c r="K732" s="24">
        <f t="shared" si="22"/>
        <v>710</v>
      </c>
    </row>
    <row r="733" spans="1:11">
      <c r="A733" s="35"/>
      <c r="B733" s="24">
        <v>59</v>
      </c>
      <c r="C733" s="23"/>
      <c r="D733" s="23"/>
      <c r="E733" s="24"/>
      <c r="F733" s="24"/>
      <c r="G733" s="24"/>
      <c r="H733" s="24"/>
      <c r="I733" s="24"/>
      <c r="J733" s="24" t="str">
        <f t="shared" si="21"/>
        <v/>
      </c>
      <c r="K733" s="24">
        <f t="shared" si="22"/>
        <v>710</v>
      </c>
    </row>
    <row r="734" spans="1:11">
      <c r="A734" s="35"/>
      <c r="B734" s="24">
        <v>60</v>
      </c>
      <c r="C734" s="23"/>
      <c r="D734" s="23"/>
      <c r="E734" s="24"/>
      <c r="F734" s="24"/>
      <c r="G734" s="24"/>
      <c r="H734" s="24"/>
      <c r="I734" s="24"/>
      <c r="J734" s="24" t="str">
        <f t="shared" si="21"/>
        <v/>
      </c>
      <c r="K734" s="24">
        <f t="shared" si="22"/>
        <v>710</v>
      </c>
    </row>
    <row r="735" spans="1:11">
      <c r="A735" s="35"/>
      <c r="B735" s="34"/>
      <c r="C735" s="34"/>
      <c r="D735" s="34"/>
      <c r="E735" s="34"/>
      <c r="F735" s="34"/>
      <c r="G735" s="34"/>
      <c r="H735" s="34"/>
      <c r="I735" s="33" t="s">
        <v>31</v>
      </c>
      <c r="J735" s="33"/>
      <c r="K735" s="24">
        <f>SUM(K675:K734)</f>
        <v>28590</v>
      </c>
    </row>
    <row r="736" spans="1:11">
      <c r="I736" s="27"/>
      <c r="J736" s="27"/>
      <c r="K736" s="24"/>
    </row>
    <row r="737" spans="1:11">
      <c r="I737" s="27"/>
      <c r="J737" s="27"/>
      <c r="K737" s="24"/>
    </row>
    <row r="739" spans="1:11">
      <c r="A739" s="23">
        <v>12</v>
      </c>
      <c r="B739" s="23" t="s">
        <v>0</v>
      </c>
      <c r="C739" s="28" t="str">
        <f>IF('Navigation and Summary'!$B$20="", "", 'Navigation and Summary'!$B$20)</f>
        <v>BASIC 4A</v>
      </c>
      <c r="D739" s="28"/>
      <c r="E739" s="23" t="s">
        <v>37</v>
      </c>
      <c r="F739" s="24">
        <f>IF('Navigation and Summary'!$C$20="", "", 'Navigation and Summary'!$C$20)</f>
        <v>760</v>
      </c>
      <c r="G739" s="23" t="s">
        <v>34</v>
      </c>
      <c r="H739" s="24" t="str">
        <f>IF(C739="", "", 'Navigation and Summary'!$G$6)</f>
        <v>2025-26</v>
      </c>
    </row>
    <row r="740" spans="1:11">
      <c r="A740" s="35"/>
      <c r="B740" s="35" t="s">
        <v>32</v>
      </c>
      <c r="C740" s="35"/>
      <c r="D740" s="35"/>
      <c r="E740" s="35"/>
      <c r="F740" s="35"/>
      <c r="G740" s="35"/>
      <c r="H740" s="35"/>
      <c r="I740" s="23"/>
      <c r="J740" s="23"/>
      <c r="K740" s="23"/>
    </row>
    <row r="741" spans="1:11" ht="28.5">
      <c r="A741" s="35"/>
      <c r="B741" s="25" t="s">
        <v>1</v>
      </c>
      <c r="C741" s="25" t="s">
        <v>2</v>
      </c>
      <c r="D741" s="25" t="s">
        <v>745</v>
      </c>
      <c r="E741" s="25" t="s">
        <v>3</v>
      </c>
      <c r="F741" s="25" t="s">
        <v>4</v>
      </c>
      <c r="G741" s="25" t="s">
        <v>5</v>
      </c>
      <c r="H741" s="25" t="s">
        <v>6</v>
      </c>
      <c r="I741" s="25" t="s">
        <v>7</v>
      </c>
      <c r="J741" s="25" t="s">
        <v>8</v>
      </c>
      <c r="K741" s="25" t="s">
        <v>9</v>
      </c>
    </row>
    <row r="742" spans="1:11">
      <c r="A742" s="35"/>
      <c r="B742" s="24">
        <v>1</v>
      </c>
      <c r="C742" s="23" t="s">
        <v>292</v>
      </c>
      <c r="D742" s="23" t="s">
        <v>746</v>
      </c>
      <c r="E742" s="24">
        <v>60</v>
      </c>
      <c r="F742" s="24"/>
      <c r="G742" s="24"/>
      <c r="H742" s="24"/>
      <c r="I742" s="24"/>
      <c r="J742" s="24">
        <f>IF(SUM(E742:I742)=0, "", SUM(E742:I742))</f>
        <v>60</v>
      </c>
      <c r="K742" s="24">
        <f xml:space="preserve"> IFERROR(IF(($F$739-J742)=0, 0, ($F$739-J742)),$F$739)</f>
        <v>700</v>
      </c>
    </row>
    <row r="743" spans="1:11">
      <c r="A743" s="35"/>
      <c r="B743" s="24">
        <v>2</v>
      </c>
      <c r="C743" s="23" t="s">
        <v>293</v>
      </c>
      <c r="D743" s="23" t="s">
        <v>747</v>
      </c>
      <c r="E743" s="24">
        <v>200</v>
      </c>
      <c r="F743" s="24">
        <v>200</v>
      </c>
      <c r="G743" s="24"/>
      <c r="H743" s="24"/>
      <c r="I743" s="24"/>
      <c r="J743" s="24">
        <f t="shared" ref="J743:J801" si="23">IF(SUM(E743:I743)=0, "", SUM(E743:I743))</f>
        <v>400</v>
      </c>
      <c r="K743" s="24">
        <f t="shared" ref="K743:K801" si="24" xml:space="preserve"> IFERROR(IF(($F$739-J743)=0, 0, ($F$739-J743)),$F$739)</f>
        <v>360</v>
      </c>
    </row>
    <row r="744" spans="1:11">
      <c r="A744" s="35"/>
      <c r="B744" s="24">
        <v>3</v>
      </c>
      <c r="C744" s="23" t="s">
        <v>675</v>
      </c>
      <c r="D744" s="23" t="s">
        <v>746</v>
      </c>
      <c r="E744" s="24"/>
      <c r="F744" s="24"/>
      <c r="G744" s="24"/>
      <c r="H744" s="24"/>
      <c r="I744" s="24"/>
      <c r="J744" s="24" t="str">
        <f t="shared" si="23"/>
        <v/>
      </c>
      <c r="K744" s="24">
        <f t="shared" si="24"/>
        <v>760</v>
      </c>
    </row>
    <row r="745" spans="1:11">
      <c r="A745" s="35"/>
      <c r="B745" s="24">
        <v>4</v>
      </c>
      <c r="C745" s="23" t="s">
        <v>294</v>
      </c>
      <c r="D745" s="23" t="s">
        <v>746</v>
      </c>
      <c r="E745" s="24">
        <v>340</v>
      </c>
      <c r="F745" s="24"/>
      <c r="G745" s="24"/>
      <c r="H745" s="24"/>
      <c r="I745" s="24"/>
      <c r="J745" s="24">
        <f t="shared" si="23"/>
        <v>340</v>
      </c>
      <c r="K745" s="24">
        <f t="shared" si="24"/>
        <v>420</v>
      </c>
    </row>
    <row r="746" spans="1:11">
      <c r="A746" s="35"/>
      <c r="B746" s="24">
        <v>5</v>
      </c>
      <c r="C746" s="23" t="s">
        <v>295</v>
      </c>
      <c r="D746" s="23" t="s">
        <v>746</v>
      </c>
      <c r="E746" s="24">
        <v>500</v>
      </c>
      <c r="F746" s="24"/>
      <c r="G746" s="24"/>
      <c r="H746" s="24"/>
      <c r="I746" s="24"/>
      <c r="J746" s="24">
        <f t="shared" si="23"/>
        <v>500</v>
      </c>
      <c r="K746" s="24">
        <f t="shared" si="24"/>
        <v>260</v>
      </c>
    </row>
    <row r="747" spans="1:11">
      <c r="A747" s="35"/>
      <c r="B747" s="24">
        <v>6</v>
      </c>
      <c r="C747" s="23" t="s">
        <v>296</v>
      </c>
      <c r="D747" s="23" t="s">
        <v>746</v>
      </c>
      <c r="E747" s="24"/>
      <c r="F747" s="24"/>
      <c r="G747" s="24"/>
      <c r="H747" s="24"/>
      <c r="I747" s="24"/>
      <c r="J747" s="24" t="str">
        <f t="shared" si="23"/>
        <v/>
      </c>
      <c r="K747" s="24">
        <f t="shared" si="24"/>
        <v>760</v>
      </c>
    </row>
    <row r="748" spans="1:11">
      <c r="A748" s="35"/>
      <c r="B748" s="24">
        <v>7</v>
      </c>
      <c r="C748" s="23" t="s">
        <v>297</v>
      </c>
      <c r="D748" s="23" t="s">
        <v>747</v>
      </c>
      <c r="E748" s="24">
        <v>300</v>
      </c>
      <c r="F748" s="24">
        <v>250</v>
      </c>
      <c r="G748" s="24"/>
      <c r="H748" s="24"/>
      <c r="I748" s="24"/>
      <c r="J748" s="24">
        <f t="shared" si="23"/>
        <v>550</v>
      </c>
      <c r="K748" s="24">
        <f t="shared" si="24"/>
        <v>210</v>
      </c>
    </row>
    <row r="749" spans="1:11">
      <c r="A749" s="35"/>
      <c r="B749" s="24">
        <v>8</v>
      </c>
      <c r="C749" s="23" t="s">
        <v>298</v>
      </c>
      <c r="D749" s="23" t="s">
        <v>747</v>
      </c>
      <c r="E749" s="24">
        <v>760</v>
      </c>
      <c r="F749" s="24"/>
      <c r="G749" s="24"/>
      <c r="H749" s="24"/>
      <c r="I749" s="24"/>
      <c r="J749" s="24">
        <f t="shared" si="23"/>
        <v>760</v>
      </c>
      <c r="K749" s="24">
        <f t="shared" si="24"/>
        <v>0</v>
      </c>
    </row>
    <row r="750" spans="1:11">
      <c r="A750" s="35"/>
      <c r="B750" s="24">
        <v>9</v>
      </c>
      <c r="C750" s="23" t="s">
        <v>299</v>
      </c>
      <c r="D750" s="23" t="s">
        <v>747</v>
      </c>
      <c r="E750" s="24">
        <v>550</v>
      </c>
      <c r="F750" s="24"/>
      <c r="G750" s="24"/>
      <c r="H750" s="24"/>
      <c r="I750" s="24"/>
      <c r="J750" s="24">
        <f t="shared" si="23"/>
        <v>550</v>
      </c>
      <c r="K750" s="24">
        <f t="shared" si="24"/>
        <v>210</v>
      </c>
    </row>
    <row r="751" spans="1:11">
      <c r="A751" s="35"/>
      <c r="B751" s="24">
        <v>10</v>
      </c>
      <c r="C751" s="23" t="s">
        <v>300</v>
      </c>
      <c r="D751" s="23" t="s">
        <v>747</v>
      </c>
      <c r="E751" s="24">
        <v>100</v>
      </c>
      <c r="F751" s="24">
        <v>300</v>
      </c>
      <c r="G751" s="24"/>
      <c r="H751" s="24"/>
      <c r="I751" s="24"/>
      <c r="J751" s="24">
        <f t="shared" si="23"/>
        <v>400</v>
      </c>
      <c r="K751" s="24">
        <f t="shared" si="24"/>
        <v>360</v>
      </c>
    </row>
    <row r="752" spans="1:11">
      <c r="A752" s="35"/>
      <c r="B752" s="24">
        <v>11</v>
      </c>
      <c r="C752" s="23" t="s">
        <v>301</v>
      </c>
      <c r="D752" s="23" t="s">
        <v>746</v>
      </c>
      <c r="E752" s="24">
        <v>500</v>
      </c>
      <c r="F752" s="24"/>
      <c r="G752" s="24"/>
      <c r="H752" s="24"/>
      <c r="I752" s="24"/>
      <c r="J752" s="24">
        <f t="shared" si="23"/>
        <v>500</v>
      </c>
      <c r="K752" s="24">
        <f t="shared" si="24"/>
        <v>260</v>
      </c>
    </row>
    <row r="753" spans="1:11">
      <c r="A753" s="35"/>
      <c r="B753" s="24">
        <v>12</v>
      </c>
      <c r="C753" s="23" t="s">
        <v>326</v>
      </c>
      <c r="D753" s="23" t="s">
        <v>746</v>
      </c>
      <c r="E753" s="24">
        <v>760</v>
      </c>
      <c r="F753" s="24"/>
      <c r="G753" s="24"/>
      <c r="H753" s="24"/>
      <c r="I753" s="24"/>
      <c r="J753" s="24">
        <f t="shared" si="23"/>
        <v>760</v>
      </c>
      <c r="K753" s="24">
        <f t="shared" si="24"/>
        <v>0</v>
      </c>
    </row>
    <row r="754" spans="1:11">
      <c r="A754" s="35"/>
      <c r="B754" s="24">
        <v>13</v>
      </c>
      <c r="C754" s="23" t="s">
        <v>302</v>
      </c>
      <c r="D754" s="23" t="s">
        <v>747</v>
      </c>
      <c r="E754" s="24">
        <v>500</v>
      </c>
      <c r="F754" s="24"/>
      <c r="G754" s="24"/>
      <c r="H754" s="24"/>
      <c r="I754" s="24"/>
      <c r="J754" s="24">
        <f t="shared" si="23"/>
        <v>500</v>
      </c>
      <c r="K754" s="24">
        <f t="shared" si="24"/>
        <v>260</v>
      </c>
    </row>
    <row r="755" spans="1:11">
      <c r="A755" s="35"/>
      <c r="B755" s="24">
        <v>14</v>
      </c>
      <c r="C755" s="23" t="s">
        <v>303</v>
      </c>
      <c r="D755" s="23" t="s">
        <v>746</v>
      </c>
      <c r="E755" s="24">
        <v>675</v>
      </c>
      <c r="F755" s="24">
        <v>85</v>
      </c>
      <c r="G755" s="24"/>
      <c r="H755" s="24"/>
      <c r="I755" s="24"/>
      <c r="J755" s="24">
        <f t="shared" si="23"/>
        <v>760</v>
      </c>
      <c r="K755" s="24">
        <f t="shared" si="24"/>
        <v>0</v>
      </c>
    </row>
    <row r="756" spans="1:11">
      <c r="A756" s="35"/>
      <c r="B756" s="24">
        <v>15</v>
      </c>
      <c r="C756" s="23" t="s">
        <v>304</v>
      </c>
      <c r="D756" s="23" t="s">
        <v>747</v>
      </c>
      <c r="E756" s="24">
        <v>200</v>
      </c>
      <c r="F756" s="24"/>
      <c r="G756" s="24"/>
      <c r="H756" s="24"/>
      <c r="I756" s="24"/>
      <c r="J756" s="24">
        <f t="shared" si="23"/>
        <v>200</v>
      </c>
      <c r="K756" s="24">
        <f t="shared" si="24"/>
        <v>560</v>
      </c>
    </row>
    <row r="757" spans="1:11">
      <c r="A757" s="35"/>
      <c r="B757" s="24">
        <v>16</v>
      </c>
      <c r="C757" s="23" t="s">
        <v>305</v>
      </c>
      <c r="D757" s="23" t="s">
        <v>746</v>
      </c>
      <c r="E757" s="24">
        <v>150</v>
      </c>
      <c r="F757" s="24"/>
      <c r="G757" s="24"/>
      <c r="H757" s="24"/>
      <c r="I757" s="24"/>
      <c r="J757" s="24">
        <f t="shared" si="23"/>
        <v>150</v>
      </c>
      <c r="K757" s="24">
        <f t="shared" si="24"/>
        <v>610</v>
      </c>
    </row>
    <row r="758" spans="1:11">
      <c r="A758" s="35"/>
      <c r="B758" s="24">
        <v>17</v>
      </c>
      <c r="C758" s="23" t="s">
        <v>306</v>
      </c>
      <c r="D758" s="23" t="s">
        <v>747</v>
      </c>
      <c r="E758" s="24">
        <v>500</v>
      </c>
      <c r="F758" s="24"/>
      <c r="G758" s="24"/>
      <c r="H758" s="24"/>
      <c r="I758" s="24"/>
      <c r="J758" s="24">
        <f t="shared" si="23"/>
        <v>500</v>
      </c>
      <c r="K758" s="24">
        <f t="shared" si="24"/>
        <v>260</v>
      </c>
    </row>
    <row r="759" spans="1:11">
      <c r="A759" s="35"/>
      <c r="B759" s="24">
        <v>18</v>
      </c>
      <c r="C759" s="23" t="s">
        <v>307</v>
      </c>
      <c r="D759" s="23" t="s">
        <v>747</v>
      </c>
      <c r="E759" s="24">
        <v>250</v>
      </c>
      <c r="F759" s="24"/>
      <c r="G759" s="24"/>
      <c r="H759" s="24"/>
      <c r="I759" s="24"/>
      <c r="J759" s="24">
        <f t="shared" si="23"/>
        <v>250</v>
      </c>
      <c r="K759" s="24">
        <f t="shared" si="24"/>
        <v>510</v>
      </c>
    </row>
    <row r="760" spans="1:11">
      <c r="A760" s="35"/>
      <c r="B760" s="24">
        <v>19</v>
      </c>
      <c r="C760" s="23" t="s">
        <v>308</v>
      </c>
      <c r="D760" s="23" t="s">
        <v>746</v>
      </c>
      <c r="E760" s="24">
        <v>400</v>
      </c>
      <c r="F760" s="24">
        <v>360</v>
      </c>
      <c r="G760" s="24"/>
      <c r="H760" s="24"/>
      <c r="I760" s="24"/>
      <c r="J760" s="24">
        <f t="shared" si="23"/>
        <v>760</v>
      </c>
      <c r="K760" s="24">
        <f t="shared" si="24"/>
        <v>0</v>
      </c>
    </row>
    <row r="761" spans="1:11">
      <c r="A761" s="35"/>
      <c r="B761" s="24">
        <v>20</v>
      </c>
      <c r="C761" s="23" t="s">
        <v>309</v>
      </c>
      <c r="D761" s="23" t="s">
        <v>746</v>
      </c>
      <c r="E761" s="24">
        <v>760</v>
      </c>
      <c r="F761" s="24"/>
      <c r="G761" s="24"/>
      <c r="H761" s="24"/>
      <c r="I761" s="24"/>
      <c r="J761" s="24">
        <f t="shared" si="23"/>
        <v>760</v>
      </c>
      <c r="K761" s="24">
        <f t="shared" si="24"/>
        <v>0</v>
      </c>
    </row>
    <row r="762" spans="1:11">
      <c r="A762" s="35"/>
      <c r="B762" s="24">
        <v>21</v>
      </c>
      <c r="C762" s="23" t="s">
        <v>310</v>
      </c>
      <c r="D762" s="23" t="s">
        <v>747</v>
      </c>
      <c r="E762" s="24">
        <v>250</v>
      </c>
      <c r="F762" s="24">
        <v>250</v>
      </c>
      <c r="G762" s="24"/>
      <c r="H762" s="24"/>
      <c r="I762" s="24"/>
      <c r="J762" s="24">
        <f t="shared" si="23"/>
        <v>500</v>
      </c>
      <c r="K762" s="24">
        <f t="shared" si="24"/>
        <v>260</v>
      </c>
    </row>
    <row r="763" spans="1:11">
      <c r="A763" s="35"/>
      <c r="B763" s="24">
        <v>22</v>
      </c>
      <c r="C763" s="23" t="s">
        <v>311</v>
      </c>
      <c r="D763" s="23" t="s">
        <v>746</v>
      </c>
      <c r="E763" s="24">
        <v>760</v>
      </c>
      <c r="F763" s="24"/>
      <c r="G763" s="24"/>
      <c r="H763" s="24"/>
      <c r="I763" s="24"/>
      <c r="J763" s="24">
        <f t="shared" si="23"/>
        <v>760</v>
      </c>
      <c r="K763" s="24">
        <f t="shared" si="24"/>
        <v>0</v>
      </c>
    </row>
    <row r="764" spans="1:11">
      <c r="A764" s="35"/>
      <c r="B764" s="24">
        <v>23</v>
      </c>
      <c r="C764" s="23" t="s">
        <v>312</v>
      </c>
      <c r="D764" s="23" t="s">
        <v>747</v>
      </c>
      <c r="E764" s="24">
        <v>300</v>
      </c>
      <c r="F764" s="24"/>
      <c r="G764" s="24"/>
      <c r="H764" s="24"/>
      <c r="I764" s="24"/>
      <c r="J764" s="24">
        <f t="shared" si="23"/>
        <v>300</v>
      </c>
      <c r="K764" s="24">
        <f t="shared" si="24"/>
        <v>460</v>
      </c>
    </row>
    <row r="765" spans="1:11">
      <c r="A765" s="35"/>
      <c r="B765" s="24">
        <v>24</v>
      </c>
      <c r="C765" s="23" t="s">
        <v>742</v>
      </c>
      <c r="D765" s="23" t="s">
        <v>747</v>
      </c>
      <c r="E765" s="24">
        <v>400</v>
      </c>
      <c r="F765" s="24"/>
      <c r="G765" s="24"/>
      <c r="H765" s="24"/>
      <c r="I765" s="24"/>
      <c r="J765" s="24">
        <f t="shared" si="23"/>
        <v>400</v>
      </c>
      <c r="K765" s="24">
        <f t="shared" si="24"/>
        <v>360</v>
      </c>
    </row>
    <row r="766" spans="1:11">
      <c r="A766" s="35"/>
      <c r="B766" s="24">
        <v>25</v>
      </c>
      <c r="C766" s="23"/>
      <c r="D766" s="23"/>
      <c r="E766" s="24"/>
      <c r="F766" s="24"/>
      <c r="G766" s="24"/>
      <c r="H766" s="24"/>
      <c r="I766" s="24"/>
      <c r="J766" s="24" t="str">
        <f t="shared" si="23"/>
        <v/>
      </c>
      <c r="K766" s="24">
        <f t="shared" si="24"/>
        <v>760</v>
      </c>
    </row>
    <row r="767" spans="1:11">
      <c r="A767" s="35"/>
      <c r="B767" s="24">
        <v>26</v>
      </c>
      <c r="C767" s="23"/>
      <c r="D767" s="23"/>
      <c r="E767" s="24"/>
      <c r="F767" s="24"/>
      <c r="G767" s="24"/>
      <c r="H767" s="24"/>
      <c r="I767" s="24"/>
      <c r="J767" s="24" t="str">
        <f t="shared" si="23"/>
        <v/>
      </c>
      <c r="K767" s="24">
        <f t="shared" si="24"/>
        <v>760</v>
      </c>
    </row>
    <row r="768" spans="1:11">
      <c r="A768" s="35"/>
      <c r="B768" s="24">
        <v>27</v>
      </c>
      <c r="C768" s="23"/>
      <c r="D768" s="23"/>
      <c r="E768" s="24"/>
      <c r="F768" s="24"/>
      <c r="G768" s="24"/>
      <c r="H768" s="24"/>
      <c r="I768" s="24"/>
      <c r="J768" s="24" t="str">
        <f t="shared" si="23"/>
        <v/>
      </c>
      <c r="K768" s="24">
        <f t="shared" si="24"/>
        <v>760</v>
      </c>
    </row>
    <row r="769" spans="1:11">
      <c r="A769" s="35"/>
      <c r="B769" s="24">
        <v>28</v>
      </c>
      <c r="C769" s="23"/>
      <c r="D769" s="23"/>
      <c r="E769" s="24"/>
      <c r="F769" s="24"/>
      <c r="G769" s="24"/>
      <c r="H769" s="24"/>
      <c r="I769" s="24"/>
      <c r="J769" s="24" t="str">
        <f t="shared" si="23"/>
        <v/>
      </c>
      <c r="K769" s="24">
        <f t="shared" si="24"/>
        <v>760</v>
      </c>
    </row>
    <row r="770" spans="1:11">
      <c r="A770" s="35"/>
      <c r="B770" s="24">
        <v>29</v>
      </c>
      <c r="C770" s="23"/>
      <c r="D770" s="23"/>
      <c r="E770" s="24"/>
      <c r="F770" s="24"/>
      <c r="G770" s="24"/>
      <c r="H770" s="24"/>
      <c r="I770" s="24"/>
      <c r="J770" s="24" t="str">
        <f t="shared" si="23"/>
        <v/>
      </c>
      <c r="K770" s="24">
        <f t="shared" si="24"/>
        <v>760</v>
      </c>
    </row>
    <row r="771" spans="1:11">
      <c r="A771" s="35"/>
      <c r="B771" s="24">
        <v>30</v>
      </c>
      <c r="C771" s="23"/>
      <c r="D771" s="23"/>
      <c r="E771" s="24"/>
      <c r="F771" s="24"/>
      <c r="G771" s="24"/>
      <c r="H771" s="24"/>
      <c r="I771" s="24"/>
      <c r="J771" s="24" t="str">
        <f t="shared" si="23"/>
        <v/>
      </c>
      <c r="K771" s="24">
        <f t="shared" si="24"/>
        <v>760</v>
      </c>
    </row>
    <row r="772" spans="1:11">
      <c r="A772" s="35"/>
      <c r="B772" s="24">
        <v>31</v>
      </c>
      <c r="C772" s="23"/>
      <c r="D772" s="23"/>
      <c r="E772" s="24"/>
      <c r="F772" s="24"/>
      <c r="G772" s="24"/>
      <c r="H772" s="24"/>
      <c r="I772" s="24"/>
      <c r="J772" s="24" t="str">
        <f t="shared" si="23"/>
        <v/>
      </c>
      <c r="K772" s="24">
        <f t="shared" si="24"/>
        <v>760</v>
      </c>
    </row>
    <row r="773" spans="1:11">
      <c r="A773" s="35"/>
      <c r="B773" s="24">
        <v>32</v>
      </c>
      <c r="C773" s="23"/>
      <c r="D773" s="23"/>
      <c r="E773" s="24"/>
      <c r="F773" s="24"/>
      <c r="G773" s="24"/>
      <c r="H773" s="24"/>
      <c r="I773" s="24"/>
      <c r="J773" s="24" t="str">
        <f t="shared" si="23"/>
        <v/>
      </c>
      <c r="K773" s="24">
        <f t="shared" si="24"/>
        <v>760</v>
      </c>
    </row>
    <row r="774" spans="1:11">
      <c r="A774" s="35"/>
      <c r="B774" s="24">
        <v>33</v>
      </c>
      <c r="C774" s="23"/>
      <c r="D774" s="23"/>
      <c r="E774" s="24"/>
      <c r="F774" s="24"/>
      <c r="G774" s="24"/>
      <c r="H774" s="24"/>
      <c r="I774" s="24"/>
      <c r="J774" s="24" t="str">
        <f t="shared" si="23"/>
        <v/>
      </c>
      <c r="K774" s="24">
        <f t="shared" si="24"/>
        <v>760</v>
      </c>
    </row>
    <row r="775" spans="1:11">
      <c r="A775" s="35"/>
      <c r="B775" s="24">
        <v>34</v>
      </c>
      <c r="C775" s="23"/>
      <c r="D775" s="23"/>
      <c r="E775" s="24"/>
      <c r="F775" s="24"/>
      <c r="G775" s="24"/>
      <c r="H775" s="24"/>
      <c r="I775" s="24"/>
      <c r="J775" s="24" t="str">
        <f t="shared" si="23"/>
        <v/>
      </c>
      <c r="K775" s="24">
        <f t="shared" si="24"/>
        <v>760</v>
      </c>
    </row>
    <row r="776" spans="1:11">
      <c r="A776" s="35"/>
      <c r="B776" s="24">
        <v>35</v>
      </c>
      <c r="C776" s="23"/>
      <c r="D776" s="23"/>
      <c r="E776" s="24"/>
      <c r="F776" s="24"/>
      <c r="G776" s="24"/>
      <c r="H776" s="24"/>
      <c r="I776" s="24"/>
      <c r="J776" s="24" t="str">
        <f t="shared" si="23"/>
        <v/>
      </c>
      <c r="K776" s="24">
        <f t="shared" si="24"/>
        <v>760</v>
      </c>
    </row>
    <row r="777" spans="1:11">
      <c r="A777" s="35"/>
      <c r="B777" s="24">
        <v>36</v>
      </c>
      <c r="C777" s="23"/>
      <c r="D777" s="23"/>
      <c r="E777" s="24"/>
      <c r="F777" s="24"/>
      <c r="G777" s="24"/>
      <c r="H777" s="24"/>
      <c r="I777" s="24"/>
      <c r="J777" s="24" t="str">
        <f t="shared" si="23"/>
        <v/>
      </c>
      <c r="K777" s="24">
        <f t="shared" si="24"/>
        <v>760</v>
      </c>
    </row>
    <row r="778" spans="1:11">
      <c r="A778" s="35"/>
      <c r="B778" s="24">
        <v>37</v>
      </c>
      <c r="C778" s="23"/>
      <c r="D778" s="23"/>
      <c r="E778" s="24"/>
      <c r="F778" s="24"/>
      <c r="G778" s="24"/>
      <c r="H778" s="24"/>
      <c r="I778" s="24"/>
      <c r="J778" s="24" t="str">
        <f t="shared" si="23"/>
        <v/>
      </c>
      <c r="K778" s="24">
        <f t="shared" si="24"/>
        <v>760</v>
      </c>
    </row>
    <row r="779" spans="1:11">
      <c r="A779" s="35"/>
      <c r="B779" s="24">
        <v>38</v>
      </c>
      <c r="C779" s="23"/>
      <c r="D779" s="23"/>
      <c r="E779" s="24"/>
      <c r="F779" s="24"/>
      <c r="G779" s="24"/>
      <c r="H779" s="24"/>
      <c r="I779" s="24"/>
      <c r="J779" s="24" t="str">
        <f t="shared" si="23"/>
        <v/>
      </c>
      <c r="K779" s="24">
        <f t="shared" si="24"/>
        <v>760</v>
      </c>
    </row>
    <row r="780" spans="1:11">
      <c r="A780" s="35"/>
      <c r="B780" s="24">
        <v>39</v>
      </c>
      <c r="C780" s="23"/>
      <c r="D780" s="23"/>
      <c r="E780" s="24"/>
      <c r="F780" s="24"/>
      <c r="G780" s="24"/>
      <c r="H780" s="24"/>
      <c r="I780" s="24"/>
      <c r="J780" s="24" t="str">
        <f t="shared" si="23"/>
        <v/>
      </c>
      <c r="K780" s="24">
        <f t="shared" si="24"/>
        <v>760</v>
      </c>
    </row>
    <row r="781" spans="1:11">
      <c r="A781" s="35"/>
      <c r="B781" s="24">
        <v>40</v>
      </c>
      <c r="C781" s="23"/>
      <c r="D781" s="23"/>
      <c r="E781" s="24"/>
      <c r="F781" s="24"/>
      <c r="G781" s="24"/>
      <c r="H781" s="24"/>
      <c r="I781" s="24"/>
      <c r="J781" s="24" t="str">
        <f t="shared" si="23"/>
        <v/>
      </c>
      <c r="K781" s="24">
        <f t="shared" si="24"/>
        <v>760</v>
      </c>
    </row>
    <row r="782" spans="1:11">
      <c r="A782" s="35"/>
      <c r="B782" s="24">
        <v>41</v>
      </c>
      <c r="C782" s="23"/>
      <c r="D782" s="23"/>
      <c r="E782" s="24"/>
      <c r="F782" s="24"/>
      <c r="G782" s="24"/>
      <c r="H782" s="24"/>
      <c r="I782" s="24"/>
      <c r="J782" s="24" t="str">
        <f t="shared" si="23"/>
        <v/>
      </c>
      <c r="K782" s="24">
        <f t="shared" si="24"/>
        <v>760</v>
      </c>
    </row>
    <row r="783" spans="1:11">
      <c r="A783" s="35"/>
      <c r="B783" s="24">
        <v>42</v>
      </c>
      <c r="C783" s="23"/>
      <c r="D783" s="23"/>
      <c r="E783" s="24"/>
      <c r="F783" s="24"/>
      <c r="G783" s="24"/>
      <c r="H783" s="24"/>
      <c r="I783" s="24"/>
      <c r="J783" s="24" t="str">
        <f t="shared" si="23"/>
        <v/>
      </c>
      <c r="K783" s="24">
        <f t="shared" si="24"/>
        <v>760</v>
      </c>
    </row>
    <row r="784" spans="1:11">
      <c r="A784" s="35"/>
      <c r="B784" s="24">
        <v>43</v>
      </c>
      <c r="C784" s="23"/>
      <c r="D784" s="23"/>
      <c r="E784" s="24"/>
      <c r="F784" s="24"/>
      <c r="G784" s="24"/>
      <c r="H784" s="24"/>
      <c r="I784" s="24"/>
      <c r="J784" s="24" t="str">
        <f t="shared" si="23"/>
        <v/>
      </c>
      <c r="K784" s="24">
        <f t="shared" si="24"/>
        <v>760</v>
      </c>
    </row>
    <row r="785" spans="1:11">
      <c r="A785" s="35"/>
      <c r="B785" s="24">
        <v>44</v>
      </c>
      <c r="C785" s="23"/>
      <c r="D785" s="23"/>
      <c r="E785" s="24"/>
      <c r="F785" s="24"/>
      <c r="G785" s="24"/>
      <c r="H785" s="24"/>
      <c r="I785" s="24"/>
      <c r="J785" s="24" t="str">
        <f t="shared" si="23"/>
        <v/>
      </c>
      <c r="K785" s="24">
        <f t="shared" si="24"/>
        <v>760</v>
      </c>
    </row>
    <row r="786" spans="1:11">
      <c r="A786" s="35"/>
      <c r="B786" s="24">
        <v>45</v>
      </c>
      <c r="C786" s="23"/>
      <c r="D786" s="23"/>
      <c r="E786" s="24"/>
      <c r="F786" s="24"/>
      <c r="G786" s="24"/>
      <c r="H786" s="24"/>
      <c r="I786" s="24"/>
      <c r="J786" s="24" t="str">
        <f t="shared" si="23"/>
        <v/>
      </c>
      <c r="K786" s="24">
        <f t="shared" si="24"/>
        <v>760</v>
      </c>
    </row>
    <row r="787" spans="1:11">
      <c r="A787" s="35"/>
      <c r="B787" s="24">
        <v>46</v>
      </c>
      <c r="C787" s="23"/>
      <c r="D787" s="23"/>
      <c r="E787" s="24"/>
      <c r="F787" s="24"/>
      <c r="G787" s="24"/>
      <c r="H787" s="24"/>
      <c r="I787" s="24"/>
      <c r="J787" s="24" t="str">
        <f t="shared" si="23"/>
        <v/>
      </c>
      <c r="K787" s="24">
        <f t="shared" si="24"/>
        <v>760</v>
      </c>
    </row>
    <row r="788" spans="1:11">
      <c r="A788" s="35"/>
      <c r="B788" s="24">
        <v>47</v>
      </c>
      <c r="C788" s="23"/>
      <c r="D788" s="23"/>
      <c r="E788" s="24"/>
      <c r="F788" s="24"/>
      <c r="G788" s="24"/>
      <c r="H788" s="24"/>
      <c r="I788" s="24"/>
      <c r="J788" s="24" t="str">
        <f t="shared" si="23"/>
        <v/>
      </c>
      <c r="K788" s="24">
        <f t="shared" si="24"/>
        <v>760</v>
      </c>
    </row>
    <row r="789" spans="1:11">
      <c r="A789" s="35"/>
      <c r="B789" s="24">
        <v>48</v>
      </c>
      <c r="C789" s="23"/>
      <c r="D789" s="23"/>
      <c r="E789" s="24"/>
      <c r="F789" s="24"/>
      <c r="G789" s="24"/>
      <c r="H789" s="24"/>
      <c r="I789" s="24"/>
      <c r="J789" s="24" t="str">
        <f t="shared" si="23"/>
        <v/>
      </c>
      <c r="K789" s="24">
        <f t="shared" si="24"/>
        <v>760</v>
      </c>
    </row>
    <row r="790" spans="1:11">
      <c r="A790" s="35"/>
      <c r="B790" s="24">
        <v>49</v>
      </c>
      <c r="C790" s="23"/>
      <c r="D790" s="23"/>
      <c r="E790" s="24"/>
      <c r="F790" s="24"/>
      <c r="G790" s="24"/>
      <c r="H790" s="24"/>
      <c r="I790" s="24"/>
      <c r="J790" s="24" t="str">
        <f t="shared" si="23"/>
        <v/>
      </c>
      <c r="K790" s="24">
        <f t="shared" si="24"/>
        <v>760</v>
      </c>
    </row>
    <row r="791" spans="1:11">
      <c r="A791" s="35"/>
      <c r="B791" s="24">
        <v>50</v>
      </c>
      <c r="C791" s="23"/>
      <c r="D791" s="23"/>
      <c r="E791" s="24"/>
      <c r="F791" s="24"/>
      <c r="G791" s="24"/>
      <c r="H791" s="24"/>
      <c r="I791" s="24"/>
      <c r="J791" s="24" t="str">
        <f t="shared" si="23"/>
        <v/>
      </c>
      <c r="K791" s="24">
        <f t="shared" si="24"/>
        <v>760</v>
      </c>
    </row>
    <row r="792" spans="1:11">
      <c r="A792" s="35"/>
      <c r="B792" s="24">
        <v>51</v>
      </c>
      <c r="C792" s="23"/>
      <c r="D792" s="23"/>
      <c r="E792" s="24"/>
      <c r="F792" s="24"/>
      <c r="G792" s="24"/>
      <c r="H792" s="24"/>
      <c r="I792" s="24"/>
      <c r="J792" s="24" t="str">
        <f t="shared" si="23"/>
        <v/>
      </c>
      <c r="K792" s="24">
        <f t="shared" si="24"/>
        <v>760</v>
      </c>
    </row>
    <row r="793" spans="1:11">
      <c r="A793" s="35"/>
      <c r="B793" s="24">
        <v>52</v>
      </c>
      <c r="C793" s="23"/>
      <c r="D793" s="23"/>
      <c r="E793" s="24"/>
      <c r="F793" s="24"/>
      <c r="G793" s="24"/>
      <c r="H793" s="24"/>
      <c r="I793" s="24"/>
      <c r="J793" s="24" t="str">
        <f t="shared" si="23"/>
        <v/>
      </c>
      <c r="K793" s="24">
        <f t="shared" si="24"/>
        <v>760</v>
      </c>
    </row>
    <row r="794" spans="1:11">
      <c r="A794" s="35"/>
      <c r="B794" s="24">
        <v>53</v>
      </c>
      <c r="C794" s="23"/>
      <c r="D794" s="23"/>
      <c r="E794" s="24"/>
      <c r="F794" s="24"/>
      <c r="G794" s="24"/>
      <c r="H794" s="24"/>
      <c r="I794" s="24"/>
      <c r="J794" s="24" t="str">
        <f t="shared" si="23"/>
        <v/>
      </c>
      <c r="K794" s="24">
        <f t="shared" si="24"/>
        <v>760</v>
      </c>
    </row>
    <row r="795" spans="1:11">
      <c r="A795" s="35"/>
      <c r="B795" s="24">
        <v>54</v>
      </c>
      <c r="C795" s="23"/>
      <c r="D795" s="23"/>
      <c r="E795" s="24"/>
      <c r="F795" s="24"/>
      <c r="G795" s="24"/>
      <c r="H795" s="24"/>
      <c r="I795" s="24"/>
      <c r="J795" s="24" t="str">
        <f t="shared" si="23"/>
        <v/>
      </c>
      <c r="K795" s="24">
        <f t="shared" si="24"/>
        <v>760</v>
      </c>
    </row>
    <row r="796" spans="1:11">
      <c r="A796" s="35"/>
      <c r="B796" s="24">
        <v>55</v>
      </c>
      <c r="C796" s="23"/>
      <c r="D796" s="23"/>
      <c r="E796" s="24"/>
      <c r="F796" s="24"/>
      <c r="G796" s="24"/>
      <c r="H796" s="24"/>
      <c r="I796" s="24"/>
      <c r="J796" s="24" t="str">
        <f t="shared" si="23"/>
        <v/>
      </c>
      <c r="K796" s="24">
        <f t="shared" si="24"/>
        <v>760</v>
      </c>
    </row>
    <row r="797" spans="1:11">
      <c r="A797" s="35"/>
      <c r="B797" s="24">
        <v>56</v>
      </c>
      <c r="C797" s="23"/>
      <c r="D797" s="23"/>
      <c r="E797" s="24"/>
      <c r="F797" s="24"/>
      <c r="G797" s="24"/>
      <c r="H797" s="24"/>
      <c r="I797" s="24"/>
      <c r="J797" s="24" t="str">
        <f t="shared" si="23"/>
        <v/>
      </c>
      <c r="K797" s="24">
        <f t="shared" si="24"/>
        <v>760</v>
      </c>
    </row>
    <row r="798" spans="1:11">
      <c r="A798" s="35"/>
      <c r="B798" s="24">
        <v>57</v>
      </c>
      <c r="C798" s="23"/>
      <c r="D798" s="23"/>
      <c r="E798" s="24"/>
      <c r="F798" s="24"/>
      <c r="G798" s="24"/>
      <c r="H798" s="24"/>
      <c r="I798" s="24"/>
      <c r="J798" s="24" t="str">
        <f t="shared" si="23"/>
        <v/>
      </c>
      <c r="K798" s="24">
        <f t="shared" si="24"/>
        <v>760</v>
      </c>
    </row>
    <row r="799" spans="1:11">
      <c r="A799" s="35"/>
      <c r="B799" s="24">
        <v>58</v>
      </c>
      <c r="C799" s="23"/>
      <c r="D799" s="23"/>
      <c r="E799" s="24"/>
      <c r="F799" s="24"/>
      <c r="G799" s="24"/>
      <c r="H799" s="24"/>
      <c r="I799" s="24"/>
      <c r="J799" s="24" t="str">
        <f t="shared" si="23"/>
        <v/>
      </c>
      <c r="K799" s="24">
        <f t="shared" si="24"/>
        <v>760</v>
      </c>
    </row>
    <row r="800" spans="1:11">
      <c r="A800" s="35"/>
      <c r="B800" s="24">
        <v>59</v>
      </c>
      <c r="C800" s="23"/>
      <c r="D800" s="23"/>
      <c r="E800" s="24"/>
      <c r="F800" s="24"/>
      <c r="G800" s="24"/>
      <c r="H800" s="24"/>
      <c r="I800" s="24"/>
      <c r="J800" s="24" t="str">
        <f t="shared" si="23"/>
        <v/>
      </c>
      <c r="K800" s="24">
        <f t="shared" si="24"/>
        <v>760</v>
      </c>
    </row>
    <row r="801" spans="1:11">
      <c r="A801" s="35"/>
      <c r="B801" s="24">
        <v>60</v>
      </c>
      <c r="C801" s="23"/>
      <c r="D801" s="23"/>
      <c r="E801" s="24"/>
      <c r="F801" s="24"/>
      <c r="G801" s="24"/>
      <c r="H801" s="24"/>
      <c r="I801" s="24"/>
      <c r="J801" s="24" t="str">
        <f t="shared" si="23"/>
        <v/>
      </c>
      <c r="K801" s="24">
        <f t="shared" si="24"/>
        <v>760</v>
      </c>
    </row>
    <row r="802" spans="1:11">
      <c r="A802" s="35"/>
      <c r="B802" s="34"/>
      <c r="C802" s="34"/>
      <c r="D802" s="34"/>
      <c r="E802" s="34"/>
      <c r="F802" s="34"/>
      <c r="G802" s="34"/>
      <c r="H802" s="34"/>
      <c r="I802" s="33" t="s">
        <v>31</v>
      </c>
      <c r="J802" s="33"/>
      <c r="K802" s="24">
        <f>SUM(K742:K801)</f>
        <v>34940</v>
      </c>
    </row>
    <row r="806" spans="1:11">
      <c r="A806" s="23">
        <v>13</v>
      </c>
      <c r="B806" s="23" t="s">
        <v>0</v>
      </c>
      <c r="C806" s="28" t="str">
        <f>IF('Navigation and Summary'!$B$21="", "", 'Navigation and Summary'!$B$21)</f>
        <v xml:space="preserve">BASIC 4B </v>
      </c>
      <c r="D806" s="28"/>
      <c r="E806" s="23" t="s">
        <v>37</v>
      </c>
      <c r="F806" s="24">
        <f>IF('Navigation and Summary'!$C$21="", "", 'Navigation and Summary'!$C$21)</f>
        <v>760</v>
      </c>
      <c r="G806" s="23" t="s">
        <v>34</v>
      </c>
      <c r="H806" s="24" t="str">
        <f>IF(C806="", "", 'Navigation and Summary'!$G$6)</f>
        <v>2025-26</v>
      </c>
    </row>
    <row r="807" spans="1:11">
      <c r="A807" s="35"/>
      <c r="B807" s="35" t="s">
        <v>32</v>
      </c>
      <c r="C807" s="35"/>
      <c r="D807" s="35"/>
      <c r="E807" s="35"/>
      <c r="F807" s="35"/>
      <c r="G807" s="35"/>
      <c r="H807" s="35"/>
      <c r="I807" s="23"/>
      <c r="J807" s="23"/>
      <c r="K807" s="23"/>
    </row>
    <row r="808" spans="1:11" ht="28.5">
      <c r="A808" s="35"/>
      <c r="B808" s="25" t="s">
        <v>1</v>
      </c>
      <c r="C808" s="25" t="s">
        <v>2</v>
      </c>
      <c r="D808" s="25" t="s">
        <v>745</v>
      </c>
      <c r="E808" s="25" t="s">
        <v>3</v>
      </c>
      <c r="F808" s="25" t="s">
        <v>4</v>
      </c>
      <c r="G808" s="25" t="s">
        <v>5</v>
      </c>
      <c r="H808" s="25" t="s">
        <v>6</v>
      </c>
      <c r="I808" s="25" t="s">
        <v>7</v>
      </c>
      <c r="J808" s="25" t="s">
        <v>8</v>
      </c>
      <c r="K808" s="25" t="s">
        <v>9</v>
      </c>
    </row>
    <row r="809" spans="1:11">
      <c r="A809" s="35"/>
      <c r="B809" s="24">
        <v>1</v>
      </c>
      <c r="C809" s="23" t="s">
        <v>313</v>
      </c>
      <c r="D809" s="23" t="s">
        <v>746</v>
      </c>
      <c r="E809" s="24">
        <v>200</v>
      </c>
      <c r="F809" s="24"/>
      <c r="G809" s="24"/>
      <c r="H809" s="24"/>
      <c r="I809" s="24"/>
      <c r="J809" s="24">
        <f>IF(SUM(E809:I809)=0, "", SUM(E809:I809))</f>
        <v>200</v>
      </c>
      <c r="K809" s="24">
        <f xml:space="preserve"> IFERROR(IF(($F$806-J809)=0, 0, ($F$806-J809)),$F$806)</f>
        <v>560</v>
      </c>
    </row>
    <row r="810" spans="1:11">
      <c r="A810" s="35"/>
      <c r="B810" s="24">
        <v>2</v>
      </c>
      <c r="C810" s="23" t="s">
        <v>314</v>
      </c>
      <c r="D810" s="23" t="s">
        <v>747</v>
      </c>
      <c r="E810" s="24">
        <v>200</v>
      </c>
      <c r="F810" s="24">
        <v>100</v>
      </c>
      <c r="G810" s="24">
        <v>150</v>
      </c>
      <c r="H810" s="24">
        <v>150</v>
      </c>
      <c r="I810" s="24"/>
      <c r="J810" s="24">
        <f t="shared" ref="J810:J868" si="25">IF(SUM(E810:I810)=0, "", SUM(E810:I810))</f>
        <v>600</v>
      </c>
      <c r="K810" s="24">
        <f t="shared" ref="K810:K868" si="26" xml:space="preserve"> IFERROR(IF(($F$806-J810)=0, 0, ($F$806-J810)),$F$806)</f>
        <v>160</v>
      </c>
    </row>
    <row r="811" spans="1:11">
      <c r="A811" s="35"/>
      <c r="B811" s="24">
        <v>3</v>
      </c>
      <c r="C811" s="23" t="s">
        <v>268</v>
      </c>
      <c r="D811" s="23" t="s">
        <v>747</v>
      </c>
      <c r="E811" s="24">
        <v>300</v>
      </c>
      <c r="F811" s="24"/>
      <c r="G811" s="24"/>
      <c r="H811" s="24"/>
      <c r="I811" s="24"/>
      <c r="J811" s="24">
        <f t="shared" si="25"/>
        <v>300</v>
      </c>
      <c r="K811" s="24">
        <f t="shared" si="26"/>
        <v>460</v>
      </c>
    </row>
    <row r="812" spans="1:11">
      <c r="A812" s="35"/>
      <c r="B812" s="24">
        <v>4</v>
      </c>
      <c r="C812" s="23" t="s">
        <v>315</v>
      </c>
      <c r="D812" s="23" t="s">
        <v>747</v>
      </c>
      <c r="E812" s="24">
        <v>250</v>
      </c>
      <c r="F812" s="24">
        <v>50</v>
      </c>
      <c r="G812" s="24">
        <v>350</v>
      </c>
      <c r="H812" s="24"/>
      <c r="I812" s="24"/>
      <c r="J812" s="24">
        <f t="shared" si="25"/>
        <v>650</v>
      </c>
      <c r="K812" s="24">
        <f t="shared" si="26"/>
        <v>110</v>
      </c>
    </row>
    <row r="813" spans="1:11">
      <c r="A813" s="35"/>
      <c r="B813" s="24">
        <v>5</v>
      </c>
      <c r="C813" s="23" t="s">
        <v>316</v>
      </c>
      <c r="D813" s="23" t="s">
        <v>746</v>
      </c>
      <c r="E813" s="24">
        <v>760</v>
      </c>
      <c r="F813" s="24"/>
      <c r="G813" s="24"/>
      <c r="H813" s="24"/>
      <c r="I813" s="24"/>
      <c r="J813" s="24">
        <f t="shared" si="25"/>
        <v>760</v>
      </c>
      <c r="K813" s="24">
        <f t="shared" si="26"/>
        <v>0</v>
      </c>
    </row>
    <row r="814" spans="1:11">
      <c r="A814" s="35"/>
      <c r="B814" s="24">
        <v>6</v>
      </c>
      <c r="C814" s="23" t="s">
        <v>317</v>
      </c>
      <c r="D814" s="23" t="s">
        <v>746</v>
      </c>
      <c r="E814" s="24">
        <v>500</v>
      </c>
      <c r="F814" s="24">
        <v>260</v>
      </c>
      <c r="G814" s="24"/>
      <c r="H814" s="24"/>
      <c r="I814" s="24"/>
      <c r="J814" s="24">
        <f t="shared" si="25"/>
        <v>760</v>
      </c>
      <c r="K814" s="24">
        <f t="shared" si="26"/>
        <v>0</v>
      </c>
    </row>
    <row r="815" spans="1:11">
      <c r="A815" s="35"/>
      <c r="B815" s="24">
        <v>7</v>
      </c>
      <c r="C815" s="23" t="s">
        <v>318</v>
      </c>
      <c r="D815" s="23" t="s">
        <v>747</v>
      </c>
      <c r="E815" s="24">
        <v>760</v>
      </c>
      <c r="F815" s="24"/>
      <c r="G815" s="24"/>
      <c r="H815" s="24"/>
      <c r="I815" s="24"/>
      <c r="J815" s="24">
        <f t="shared" si="25"/>
        <v>760</v>
      </c>
      <c r="K815" s="24">
        <f t="shared" si="26"/>
        <v>0</v>
      </c>
    </row>
    <row r="816" spans="1:11">
      <c r="A816" s="35"/>
      <c r="B816" s="24">
        <v>8</v>
      </c>
      <c r="C816" s="23" t="s">
        <v>319</v>
      </c>
      <c r="D816" s="23" t="s">
        <v>747</v>
      </c>
      <c r="E816" s="24">
        <v>400</v>
      </c>
      <c r="F816" s="24"/>
      <c r="G816" s="24"/>
      <c r="H816" s="24"/>
      <c r="I816" s="24"/>
      <c r="J816" s="24">
        <f t="shared" si="25"/>
        <v>400</v>
      </c>
      <c r="K816" s="24">
        <f t="shared" si="26"/>
        <v>360</v>
      </c>
    </row>
    <row r="817" spans="1:11">
      <c r="A817" s="35"/>
      <c r="B817" s="24">
        <v>9</v>
      </c>
      <c r="C817" s="23" t="s">
        <v>320</v>
      </c>
      <c r="D817" s="23" t="s">
        <v>746</v>
      </c>
      <c r="E817" s="24"/>
      <c r="F817" s="24"/>
      <c r="G817" s="24"/>
      <c r="H817" s="24"/>
      <c r="I817" s="24"/>
      <c r="J817" s="24" t="str">
        <f t="shared" si="25"/>
        <v/>
      </c>
      <c r="K817" s="24">
        <f t="shared" si="26"/>
        <v>760</v>
      </c>
    </row>
    <row r="818" spans="1:11">
      <c r="A818" s="35"/>
      <c r="B818" s="24">
        <v>10</v>
      </c>
      <c r="C818" s="23" t="s">
        <v>321</v>
      </c>
      <c r="D818" s="23" t="s">
        <v>747</v>
      </c>
      <c r="E818" s="24">
        <v>300</v>
      </c>
      <c r="F818" s="24"/>
      <c r="G818" s="24"/>
      <c r="H818" s="24"/>
      <c r="I818" s="24"/>
      <c r="J818" s="24">
        <f t="shared" si="25"/>
        <v>300</v>
      </c>
      <c r="K818" s="24">
        <f t="shared" si="26"/>
        <v>460</v>
      </c>
    </row>
    <row r="819" spans="1:11">
      <c r="A819" s="35"/>
      <c r="B819" s="24">
        <v>11</v>
      </c>
      <c r="C819" s="23" t="s">
        <v>322</v>
      </c>
      <c r="D819" s="23" t="s">
        <v>746</v>
      </c>
      <c r="E819" s="24">
        <v>500</v>
      </c>
      <c r="F819" s="24"/>
      <c r="G819" s="24"/>
      <c r="H819" s="24"/>
      <c r="I819" s="24"/>
      <c r="J819" s="24">
        <f t="shared" si="25"/>
        <v>500</v>
      </c>
      <c r="K819" s="24">
        <f t="shared" si="26"/>
        <v>260</v>
      </c>
    </row>
    <row r="820" spans="1:11">
      <c r="A820" s="35"/>
      <c r="B820" s="24">
        <v>12</v>
      </c>
      <c r="C820" s="23" t="s">
        <v>323</v>
      </c>
      <c r="D820" s="23" t="s">
        <v>746</v>
      </c>
      <c r="E820" s="24">
        <v>500</v>
      </c>
      <c r="F820" s="24"/>
      <c r="G820" s="24"/>
      <c r="H820" s="24"/>
      <c r="I820" s="24"/>
      <c r="J820" s="24">
        <f t="shared" si="25"/>
        <v>500</v>
      </c>
      <c r="K820" s="24">
        <f t="shared" si="26"/>
        <v>260</v>
      </c>
    </row>
    <row r="821" spans="1:11">
      <c r="A821" s="35"/>
      <c r="B821" s="24">
        <v>13</v>
      </c>
      <c r="C821" s="23" t="s">
        <v>324</v>
      </c>
      <c r="D821" s="23" t="s">
        <v>747</v>
      </c>
      <c r="E821" s="24">
        <v>200</v>
      </c>
      <c r="F821" s="24">
        <v>500</v>
      </c>
      <c r="G821" s="24"/>
      <c r="H821" s="24"/>
      <c r="I821" s="24"/>
      <c r="J821" s="24">
        <f t="shared" si="25"/>
        <v>700</v>
      </c>
      <c r="K821" s="24">
        <f t="shared" si="26"/>
        <v>60</v>
      </c>
    </row>
    <row r="822" spans="1:11">
      <c r="A822" s="35"/>
      <c r="B822" s="24">
        <v>14</v>
      </c>
      <c r="C822" s="23" t="s">
        <v>325</v>
      </c>
      <c r="D822" s="23" t="s">
        <v>746</v>
      </c>
      <c r="E822" s="24">
        <v>200</v>
      </c>
      <c r="F822" s="24">
        <v>500</v>
      </c>
      <c r="G822" s="24"/>
      <c r="H822" s="24"/>
      <c r="I822" s="24"/>
      <c r="J822" s="24">
        <f t="shared" si="25"/>
        <v>700</v>
      </c>
      <c r="K822" s="24">
        <f t="shared" si="26"/>
        <v>60</v>
      </c>
    </row>
    <row r="823" spans="1:11">
      <c r="A823" s="35"/>
      <c r="B823" s="24">
        <v>15</v>
      </c>
      <c r="C823" s="23" t="s">
        <v>327</v>
      </c>
      <c r="D823" s="23" t="s">
        <v>746</v>
      </c>
      <c r="E823" s="24">
        <v>500</v>
      </c>
      <c r="F823" s="24"/>
      <c r="G823" s="24"/>
      <c r="H823" s="24"/>
      <c r="I823" s="24"/>
      <c r="J823" s="24">
        <f t="shared" si="25"/>
        <v>500</v>
      </c>
      <c r="K823" s="24">
        <f t="shared" si="26"/>
        <v>260</v>
      </c>
    </row>
    <row r="824" spans="1:11">
      <c r="A824" s="35"/>
      <c r="B824" s="24">
        <v>16</v>
      </c>
      <c r="C824" s="23" t="s">
        <v>328</v>
      </c>
      <c r="D824" s="23" t="s">
        <v>746</v>
      </c>
      <c r="E824" s="24">
        <v>500</v>
      </c>
      <c r="F824" s="24"/>
      <c r="G824" s="24"/>
      <c r="H824" s="24"/>
      <c r="I824" s="24"/>
      <c r="J824" s="24">
        <f t="shared" si="25"/>
        <v>500</v>
      </c>
      <c r="K824" s="24">
        <f t="shared" si="26"/>
        <v>260</v>
      </c>
    </row>
    <row r="825" spans="1:11">
      <c r="A825" s="35"/>
      <c r="B825" s="24">
        <v>17</v>
      </c>
      <c r="C825" s="23" t="s">
        <v>259</v>
      </c>
      <c r="D825" s="23" t="s">
        <v>747</v>
      </c>
      <c r="E825" s="24">
        <v>600</v>
      </c>
      <c r="F825" s="24"/>
      <c r="G825" s="24"/>
      <c r="H825" s="24"/>
      <c r="I825" s="24"/>
      <c r="J825" s="24">
        <f t="shared" si="25"/>
        <v>600</v>
      </c>
      <c r="K825" s="24">
        <f t="shared" si="26"/>
        <v>160</v>
      </c>
    </row>
    <row r="826" spans="1:11">
      <c r="A826" s="35"/>
      <c r="B826" s="24">
        <v>18</v>
      </c>
      <c r="C826" s="23" t="s">
        <v>329</v>
      </c>
      <c r="D826" s="23" t="s">
        <v>746</v>
      </c>
      <c r="E826" s="24">
        <v>200</v>
      </c>
      <c r="F826" s="24">
        <v>200</v>
      </c>
      <c r="G826" s="24"/>
      <c r="H826" s="24"/>
      <c r="I826" s="24"/>
      <c r="J826" s="24">
        <f t="shared" si="25"/>
        <v>400</v>
      </c>
      <c r="K826" s="24">
        <f t="shared" si="26"/>
        <v>360</v>
      </c>
    </row>
    <row r="827" spans="1:11">
      <c r="A827" s="35"/>
      <c r="B827" s="24">
        <v>19</v>
      </c>
      <c r="C827" s="23" t="s">
        <v>330</v>
      </c>
      <c r="D827" s="23" t="s">
        <v>746</v>
      </c>
      <c r="E827" s="24">
        <v>760</v>
      </c>
      <c r="F827" s="24"/>
      <c r="G827" s="24"/>
      <c r="H827" s="24"/>
      <c r="I827" s="24"/>
      <c r="J827" s="24">
        <f t="shared" si="25"/>
        <v>760</v>
      </c>
      <c r="K827" s="24">
        <f t="shared" si="26"/>
        <v>0</v>
      </c>
    </row>
    <row r="828" spans="1:11">
      <c r="A828" s="35"/>
      <c r="B828" s="24">
        <v>20</v>
      </c>
      <c r="C828" s="23" t="s">
        <v>331</v>
      </c>
      <c r="D828" s="23" t="s">
        <v>747</v>
      </c>
      <c r="E828" s="24">
        <v>700</v>
      </c>
      <c r="F828" s="24"/>
      <c r="G828" s="24"/>
      <c r="H828" s="24"/>
      <c r="I828" s="24"/>
      <c r="J828" s="24">
        <f t="shared" si="25"/>
        <v>700</v>
      </c>
      <c r="K828" s="24">
        <f t="shared" si="26"/>
        <v>60</v>
      </c>
    </row>
    <row r="829" spans="1:11">
      <c r="A829" s="35"/>
      <c r="B829" s="24">
        <v>21</v>
      </c>
      <c r="C829" s="23" t="s">
        <v>332</v>
      </c>
      <c r="D829" s="23" t="s">
        <v>746</v>
      </c>
      <c r="E829" s="24">
        <v>600</v>
      </c>
      <c r="F829" s="24">
        <v>160</v>
      </c>
      <c r="G829" s="24"/>
      <c r="H829" s="24"/>
      <c r="I829" s="24"/>
      <c r="J829" s="24">
        <f t="shared" si="25"/>
        <v>760</v>
      </c>
      <c r="K829" s="24">
        <f t="shared" si="26"/>
        <v>0</v>
      </c>
    </row>
    <row r="830" spans="1:11">
      <c r="A830" s="35"/>
      <c r="B830" s="24">
        <v>22</v>
      </c>
      <c r="C830" s="23" t="s">
        <v>333</v>
      </c>
      <c r="D830" s="23" t="s">
        <v>746</v>
      </c>
      <c r="E830" s="24">
        <v>760</v>
      </c>
      <c r="F830" s="24"/>
      <c r="G830" s="24"/>
      <c r="H830" s="24"/>
      <c r="I830" s="24"/>
      <c r="J830" s="24">
        <f t="shared" si="25"/>
        <v>760</v>
      </c>
      <c r="K830" s="24">
        <f t="shared" si="26"/>
        <v>0</v>
      </c>
    </row>
    <row r="831" spans="1:11">
      <c r="A831" s="35"/>
      <c r="B831" s="24">
        <v>23</v>
      </c>
      <c r="C831" s="23" t="s">
        <v>334</v>
      </c>
      <c r="D831" s="23" t="s">
        <v>746</v>
      </c>
      <c r="E831" s="24">
        <v>400</v>
      </c>
      <c r="F831" s="24"/>
      <c r="G831" s="24"/>
      <c r="H831" s="24"/>
      <c r="I831" s="24"/>
      <c r="J831" s="24">
        <f t="shared" si="25"/>
        <v>400</v>
      </c>
      <c r="K831" s="24">
        <f t="shared" si="26"/>
        <v>360</v>
      </c>
    </row>
    <row r="832" spans="1:11">
      <c r="A832" s="35"/>
      <c r="B832" s="24">
        <v>24</v>
      </c>
      <c r="C832" s="23" t="s">
        <v>335</v>
      </c>
      <c r="D832" s="23" t="s">
        <v>746</v>
      </c>
      <c r="E832" s="24">
        <v>300</v>
      </c>
      <c r="F832" s="24"/>
      <c r="G832" s="24"/>
      <c r="H832" s="24"/>
      <c r="I832" s="24"/>
      <c r="J832" s="24">
        <f t="shared" si="25"/>
        <v>300</v>
      </c>
      <c r="K832" s="24">
        <f t="shared" si="26"/>
        <v>460</v>
      </c>
    </row>
    <row r="833" spans="1:11">
      <c r="A833" s="35"/>
      <c r="B833" s="24">
        <v>25</v>
      </c>
      <c r="C833" s="23" t="s">
        <v>336</v>
      </c>
      <c r="D833" s="23" t="s">
        <v>746</v>
      </c>
      <c r="E833" s="24">
        <v>300</v>
      </c>
      <c r="F833" s="24">
        <v>200</v>
      </c>
      <c r="G833" s="24"/>
      <c r="H833" s="24"/>
      <c r="I833" s="24"/>
      <c r="J833" s="24">
        <f t="shared" si="25"/>
        <v>500</v>
      </c>
      <c r="K833" s="24">
        <f t="shared" si="26"/>
        <v>260</v>
      </c>
    </row>
    <row r="834" spans="1:11">
      <c r="A834" s="35"/>
      <c r="B834" s="24">
        <v>26</v>
      </c>
      <c r="C834" s="23" t="s">
        <v>337</v>
      </c>
      <c r="D834" s="23" t="s">
        <v>747</v>
      </c>
      <c r="E834" s="24">
        <v>300</v>
      </c>
      <c r="F834" s="24">
        <v>100</v>
      </c>
      <c r="G834" s="24"/>
      <c r="H834" s="24"/>
      <c r="I834" s="24"/>
      <c r="J834" s="24">
        <f t="shared" si="25"/>
        <v>400</v>
      </c>
      <c r="K834" s="24">
        <f t="shared" si="26"/>
        <v>360</v>
      </c>
    </row>
    <row r="835" spans="1:11">
      <c r="A835" s="35"/>
      <c r="B835" s="24">
        <v>27</v>
      </c>
      <c r="C835" s="23" t="s">
        <v>624</v>
      </c>
      <c r="D835" s="23" t="s">
        <v>746</v>
      </c>
      <c r="E835" s="24">
        <v>300</v>
      </c>
      <c r="F835" s="24"/>
      <c r="G835" s="24"/>
      <c r="H835" s="24"/>
      <c r="I835" s="24"/>
      <c r="J835" s="24">
        <f t="shared" si="25"/>
        <v>300</v>
      </c>
      <c r="K835" s="24">
        <f t="shared" si="26"/>
        <v>460</v>
      </c>
    </row>
    <row r="836" spans="1:11">
      <c r="A836" s="35"/>
      <c r="B836" s="24">
        <v>28</v>
      </c>
      <c r="C836" s="23"/>
      <c r="D836" s="23"/>
      <c r="E836" s="24"/>
      <c r="F836" s="24"/>
      <c r="G836" s="24"/>
      <c r="H836" s="24"/>
      <c r="I836" s="24"/>
      <c r="J836" s="24" t="str">
        <f t="shared" si="25"/>
        <v/>
      </c>
      <c r="K836" s="24">
        <f t="shared" si="26"/>
        <v>760</v>
      </c>
    </row>
    <row r="837" spans="1:11">
      <c r="A837" s="35"/>
      <c r="B837" s="24">
        <v>29</v>
      </c>
      <c r="C837" s="23"/>
      <c r="D837" s="23"/>
      <c r="E837" s="24"/>
      <c r="F837" s="24"/>
      <c r="G837" s="24"/>
      <c r="H837" s="24"/>
      <c r="I837" s="24"/>
      <c r="J837" s="24" t="str">
        <f t="shared" si="25"/>
        <v/>
      </c>
      <c r="K837" s="24">
        <f t="shared" si="26"/>
        <v>760</v>
      </c>
    </row>
    <row r="838" spans="1:11">
      <c r="A838" s="35"/>
      <c r="B838" s="24">
        <v>30</v>
      </c>
      <c r="C838" s="23"/>
      <c r="D838" s="23"/>
      <c r="E838" s="24"/>
      <c r="F838" s="24"/>
      <c r="G838" s="24"/>
      <c r="H838" s="24"/>
      <c r="I838" s="24"/>
      <c r="J838" s="24" t="str">
        <f t="shared" si="25"/>
        <v/>
      </c>
      <c r="K838" s="24">
        <f t="shared" si="26"/>
        <v>760</v>
      </c>
    </row>
    <row r="839" spans="1:11">
      <c r="A839" s="35"/>
      <c r="B839" s="24">
        <v>31</v>
      </c>
      <c r="C839" s="23"/>
      <c r="D839" s="23"/>
      <c r="E839" s="24"/>
      <c r="F839" s="24"/>
      <c r="G839" s="24"/>
      <c r="H839" s="24"/>
      <c r="I839" s="24"/>
      <c r="J839" s="24" t="str">
        <f t="shared" si="25"/>
        <v/>
      </c>
      <c r="K839" s="24">
        <f t="shared" si="26"/>
        <v>760</v>
      </c>
    </row>
    <row r="840" spans="1:11">
      <c r="A840" s="35"/>
      <c r="B840" s="24">
        <v>32</v>
      </c>
      <c r="C840" s="23"/>
      <c r="D840" s="23"/>
      <c r="E840" s="24"/>
      <c r="F840" s="24"/>
      <c r="G840" s="24"/>
      <c r="H840" s="24"/>
      <c r="I840" s="24"/>
      <c r="J840" s="24" t="str">
        <f t="shared" si="25"/>
        <v/>
      </c>
      <c r="K840" s="24">
        <f t="shared" si="26"/>
        <v>760</v>
      </c>
    </row>
    <row r="841" spans="1:11">
      <c r="A841" s="35"/>
      <c r="B841" s="24">
        <v>33</v>
      </c>
      <c r="C841" s="23"/>
      <c r="D841" s="23"/>
      <c r="E841" s="24"/>
      <c r="F841" s="24"/>
      <c r="G841" s="24"/>
      <c r="H841" s="24"/>
      <c r="I841" s="24"/>
      <c r="J841" s="24" t="str">
        <f t="shared" si="25"/>
        <v/>
      </c>
      <c r="K841" s="24">
        <f t="shared" si="26"/>
        <v>760</v>
      </c>
    </row>
    <row r="842" spans="1:11">
      <c r="A842" s="35"/>
      <c r="B842" s="24">
        <v>34</v>
      </c>
      <c r="C842" s="23"/>
      <c r="D842" s="23"/>
      <c r="E842" s="24"/>
      <c r="F842" s="24"/>
      <c r="G842" s="24"/>
      <c r="H842" s="24"/>
      <c r="I842" s="24"/>
      <c r="J842" s="24" t="str">
        <f t="shared" si="25"/>
        <v/>
      </c>
      <c r="K842" s="24">
        <f t="shared" si="26"/>
        <v>760</v>
      </c>
    </row>
    <row r="843" spans="1:11">
      <c r="A843" s="35"/>
      <c r="B843" s="24">
        <v>35</v>
      </c>
      <c r="C843" s="23"/>
      <c r="D843" s="23"/>
      <c r="E843" s="24"/>
      <c r="F843" s="24"/>
      <c r="G843" s="24"/>
      <c r="H843" s="24"/>
      <c r="I843" s="24"/>
      <c r="J843" s="24" t="str">
        <f t="shared" si="25"/>
        <v/>
      </c>
      <c r="K843" s="24">
        <f t="shared" si="26"/>
        <v>760</v>
      </c>
    </row>
    <row r="844" spans="1:11">
      <c r="A844" s="35"/>
      <c r="B844" s="24">
        <v>36</v>
      </c>
      <c r="C844" s="23"/>
      <c r="D844" s="23"/>
      <c r="E844" s="24"/>
      <c r="F844" s="24"/>
      <c r="G844" s="24"/>
      <c r="H844" s="24"/>
      <c r="I844" s="24"/>
      <c r="J844" s="24" t="str">
        <f t="shared" si="25"/>
        <v/>
      </c>
      <c r="K844" s="24">
        <f t="shared" si="26"/>
        <v>760</v>
      </c>
    </row>
    <row r="845" spans="1:11">
      <c r="A845" s="35"/>
      <c r="B845" s="24">
        <v>37</v>
      </c>
      <c r="C845" s="23"/>
      <c r="D845" s="23"/>
      <c r="E845" s="24"/>
      <c r="F845" s="24"/>
      <c r="G845" s="24"/>
      <c r="H845" s="24"/>
      <c r="I845" s="24"/>
      <c r="J845" s="24" t="str">
        <f t="shared" si="25"/>
        <v/>
      </c>
      <c r="K845" s="24">
        <f t="shared" si="26"/>
        <v>760</v>
      </c>
    </row>
    <row r="846" spans="1:11">
      <c r="A846" s="35"/>
      <c r="B846" s="24">
        <v>38</v>
      </c>
      <c r="C846" s="23"/>
      <c r="D846" s="23"/>
      <c r="E846" s="24"/>
      <c r="F846" s="24"/>
      <c r="G846" s="24"/>
      <c r="H846" s="24"/>
      <c r="I846" s="24"/>
      <c r="J846" s="24" t="str">
        <f t="shared" si="25"/>
        <v/>
      </c>
      <c r="K846" s="24">
        <f t="shared" si="26"/>
        <v>760</v>
      </c>
    </row>
    <row r="847" spans="1:11">
      <c r="A847" s="35"/>
      <c r="B847" s="24">
        <v>39</v>
      </c>
      <c r="C847" s="23"/>
      <c r="D847" s="23"/>
      <c r="E847" s="24"/>
      <c r="F847" s="24"/>
      <c r="G847" s="24"/>
      <c r="H847" s="24"/>
      <c r="I847" s="24"/>
      <c r="J847" s="24" t="str">
        <f t="shared" si="25"/>
        <v/>
      </c>
      <c r="K847" s="24">
        <f t="shared" si="26"/>
        <v>760</v>
      </c>
    </row>
    <row r="848" spans="1:11">
      <c r="A848" s="35"/>
      <c r="B848" s="24">
        <v>40</v>
      </c>
      <c r="C848" s="23"/>
      <c r="D848" s="23"/>
      <c r="E848" s="24"/>
      <c r="F848" s="24"/>
      <c r="G848" s="24"/>
      <c r="H848" s="24"/>
      <c r="I848" s="24"/>
      <c r="J848" s="24" t="str">
        <f t="shared" si="25"/>
        <v/>
      </c>
      <c r="K848" s="24">
        <f t="shared" si="26"/>
        <v>760</v>
      </c>
    </row>
    <row r="849" spans="1:11">
      <c r="A849" s="35"/>
      <c r="B849" s="24">
        <v>41</v>
      </c>
      <c r="C849" s="23"/>
      <c r="D849" s="23"/>
      <c r="E849" s="24"/>
      <c r="F849" s="24"/>
      <c r="G849" s="24"/>
      <c r="H849" s="24"/>
      <c r="I849" s="24"/>
      <c r="J849" s="24" t="str">
        <f t="shared" si="25"/>
        <v/>
      </c>
      <c r="K849" s="24">
        <f t="shared" si="26"/>
        <v>760</v>
      </c>
    </row>
    <row r="850" spans="1:11">
      <c r="A850" s="35"/>
      <c r="B850" s="24">
        <v>42</v>
      </c>
      <c r="C850" s="23"/>
      <c r="D850" s="23"/>
      <c r="E850" s="24"/>
      <c r="F850" s="24"/>
      <c r="G850" s="24"/>
      <c r="H850" s="24"/>
      <c r="I850" s="24"/>
      <c r="J850" s="24" t="str">
        <f t="shared" si="25"/>
        <v/>
      </c>
      <c r="K850" s="24">
        <f t="shared" si="26"/>
        <v>760</v>
      </c>
    </row>
    <row r="851" spans="1:11">
      <c r="A851" s="35"/>
      <c r="B851" s="24">
        <v>43</v>
      </c>
      <c r="C851" s="23"/>
      <c r="D851" s="23"/>
      <c r="E851" s="24"/>
      <c r="F851" s="24"/>
      <c r="G851" s="24"/>
      <c r="H851" s="24"/>
      <c r="I851" s="24"/>
      <c r="J851" s="24" t="str">
        <f t="shared" si="25"/>
        <v/>
      </c>
      <c r="K851" s="24">
        <f t="shared" si="26"/>
        <v>760</v>
      </c>
    </row>
    <row r="852" spans="1:11">
      <c r="A852" s="35"/>
      <c r="B852" s="24">
        <v>44</v>
      </c>
      <c r="C852" s="23"/>
      <c r="D852" s="23"/>
      <c r="E852" s="24"/>
      <c r="F852" s="24"/>
      <c r="G852" s="24"/>
      <c r="H852" s="24"/>
      <c r="I852" s="24"/>
      <c r="J852" s="24" t="str">
        <f t="shared" si="25"/>
        <v/>
      </c>
      <c r="K852" s="24">
        <f t="shared" si="26"/>
        <v>760</v>
      </c>
    </row>
    <row r="853" spans="1:11">
      <c r="A853" s="35"/>
      <c r="B853" s="24">
        <v>45</v>
      </c>
      <c r="C853" s="23"/>
      <c r="D853" s="23"/>
      <c r="E853" s="24"/>
      <c r="F853" s="24"/>
      <c r="G853" s="24"/>
      <c r="H853" s="24"/>
      <c r="I853" s="24"/>
      <c r="J853" s="24" t="str">
        <f t="shared" si="25"/>
        <v/>
      </c>
      <c r="K853" s="24">
        <f t="shared" si="26"/>
        <v>760</v>
      </c>
    </row>
    <row r="854" spans="1:11">
      <c r="A854" s="35"/>
      <c r="B854" s="24">
        <v>46</v>
      </c>
      <c r="C854" s="23"/>
      <c r="D854" s="23"/>
      <c r="E854" s="24"/>
      <c r="F854" s="24"/>
      <c r="G854" s="24"/>
      <c r="H854" s="24"/>
      <c r="I854" s="24"/>
      <c r="J854" s="24" t="str">
        <f t="shared" si="25"/>
        <v/>
      </c>
      <c r="K854" s="24">
        <f t="shared" si="26"/>
        <v>760</v>
      </c>
    </row>
    <row r="855" spans="1:11">
      <c r="A855" s="35"/>
      <c r="B855" s="24">
        <v>47</v>
      </c>
      <c r="C855" s="23"/>
      <c r="D855" s="23"/>
      <c r="E855" s="24"/>
      <c r="F855" s="24"/>
      <c r="G855" s="24"/>
      <c r="H855" s="24"/>
      <c r="I855" s="24"/>
      <c r="J855" s="24" t="str">
        <f t="shared" si="25"/>
        <v/>
      </c>
      <c r="K855" s="24">
        <f t="shared" si="26"/>
        <v>760</v>
      </c>
    </row>
    <row r="856" spans="1:11">
      <c r="A856" s="35"/>
      <c r="B856" s="24">
        <v>48</v>
      </c>
      <c r="C856" s="23"/>
      <c r="D856" s="23"/>
      <c r="E856" s="24"/>
      <c r="F856" s="24"/>
      <c r="G856" s="24"/>
      <c r="H856" s="24"/>
      <c r="I856" s="24"/>
      <c r="J856" s="24" t="str">
        <f t="shared" si="25"/>
        <v/>
      </c>
      <c r="K856" s="24">
        <f t="shared" si="26"/>
        <v>760</v>
      </c>
    </row>
    <row r="857" spans="1:11">
      <c r="A857" s="35"/>
      <c r="B857" s="24">
        <v>49</v>
      </c>
      <c r="C857" s="23"/>
      <c r="D857" s="23"/>
      <c r="E857" s="24"/>
      <c r="F857" s="24"/>
      <c r="G857" s="24"/>
      <c r="H857" s="24"/>
      <c r="I857" s="24"/>
      <c r="J857" s="24" t="str">
        <f t="shared" si="25"/>
        <v/>
      </c>
      <c r="K857" s="24">
        <f t="shared" si="26"/>
        <v>760</v>
      </c>
    </row>
    <row r="858" spans="1:11">
      <c r="A858" s="35"/>
      <c r="B858" s="24">
        <v>50</v>
      </c>
      <c r="C858" s="23"/>
      <c r="D858" s="23"/>
      <c r="E858" s="24"/>
      <c r="F858" s="24"/>
      <c r="G858" s="24"/>
      <c r="H858" s="24"/>
      <c r="I858" s="24"/>
      <c r="J858" s="24" t="str">
        <f t="shared" si="25"/>
        <v/>
      </c>
      <c r="K858" s="24">
        <f t="shared" si="26"/>
        <v>760</v>
      </c>
    </row>
    <row r="859" spans="1:11">
      <c r="A859" s="35"/>
      <c r="B859" s="24">
        <v>51</v>
      </c>
      <c r="C859" s="23"/>
      <c r="D859" s="23"/>
      <c r="E859" s="24"/>
      <c r="F859" s="24"/>
      <c r="G859" s="24"/>
      <c r="H859" s="24"/>
      <c r="I859" s="24"/>
      <c r="J859" s="24" t="str">
        <f t="shared" si="25"/>
        <v/>
      </c>
      <c r="K859" s="24">
        <f t="shared" si="26"/>
        <v>760</v>
      </c>
    </row>
    <row r="860" spans="1:11">
      <c r="A860" s="35"/>
      <c r="B860" s="24">
        <v>52</v>
      </c>
      <c r="C860" s="23"/>
      <c r="D860" s="23"/>
      <c r="E860" s="24"/>
      <c r="F860" s="24"/>
      <c r="G860" s="24"/>
      <c r="H860" s="24"/>
      <c r="I860" s="24"/>
      <c r="J860" s="24" t="str">
        <f t="shared" si="25"/>
        <v/>
      </c>
      <c r="K860" s="24">
        <f t="shared" si="26"/>
        <v>760</v>
      </c>
    </row>
    <row r="861" spans="1:11">
      <c r="A861" s="35"/>
      <c r="B861" s="24">
        <v>53</v>
      </c>
      <c r="C861" s="23"/>
      <c r="D861" s="23"/>
      <c r="E861" s="24"/>
      <c r="F861" s="24"/>
      <c r="G861" s="24"/>
      <c r="H861" s="24"/>
      <c r="I861" s="24"/>
      <c r="J861" s="24" t="str">
        <f t="shared" si="25"/>
        <v/>
      </c>
      <c r="K861" s="24">
        <f t="shared" si="26"/>
        <v>760</v>
      </c>
    </row>
    <row r="862" spans="1:11">
      <c r="A862" s="35"/>
      <c r="B862" s="24">
        <v>54</v>
      </c>
      <c r="C862" s="23"/>
      <c r="D862" s="23"/>
      <c r="E862" s="24"/>
      <c r="F862" s="24"/>
      <c r="G862" s="24"/>
      <c r="H862" s="24"/>
      <c r="I862" s="24"/>
      <c r="J862" s="24" t="str">
        <f t="shared" si="25"/>
        <v/>
      </c>
      <c r="K862" s="24">
        <f t="shared" si="26"/>
        <v>760</v>
      </c>
    </row>
    <row r="863" spans="1:11">
      <c r="A863" s="35"/>
      <c r="B863" s="24">
        <v>55</v>
      </c>
      <c r="C863" s="23"/>
      <c r="D863" s="23"/>
      <c r="E863" s="24"/>
      <c r="F863" s="24"/>
      <c r="G863" s="24"/>
      <c r="H863" s="24"/>
      <c r="I863" s="24"/>
      <c r="J863" s="24" t="str">
        <f t="shared" si="25"/>
        <v/>
      </c>
      <c r="K863" s="24">
        <f t="shared" si="26"/>
        <v>760</v>
      </c>
    </row>
    <row r="864" spans="1:11">
      <c r="A864" s="35"/>
      <c r="B864" s="24">
        <v>56</v>
      </c>
      <c r="C864" s="23"/>
      <c r="D864" s="23"/>
      <c r="E864" s="24"/>
      <c r="F864" s="24"/>
      <c r="G864" s="24"/>
      <c r="H864" s="24"/>
      <c r="I864" s="24"/>
      <c r="J864" s="24" t="str">
        <f t="shared" si="25"/>
        <v/>
      </c>
      <c r="K864" s="24">
        <f t="shared" si="26"/>
        <v>760</v>
      </c>
    </row>
    <row r="865" spans="1:11">
      <c r="A865" s="35"/>
      <c r="B865" s="24">
        <v>57</v>
      </c>
      <c r="C865" s="23"/>
      <c r="D865" s="23"/>
      <c r="E865" s="24"/>
      <c r="F865" s="24"/>
      <c r="G865" s="24"/>
      <c r="H865" s="24"/>
      <c r="I865" s="24"/>
      <c r="J865" s="24" t="str">
        <f t="shared" si="25"/>
        <v/>
      </c>
      <c r="K865" s="24">
        <f t="shared" si="26"/>
        <v>760</v>
      </c>
    </row>
    <row r="866" spans="1:11">
      <c r="A866" s="35"/>
      <c r="B866" s="24">
        <v>58</v>
      </c>
      <c r="C866" s="23"/>
      <c r="D866" s="23"/>
      <c r="E866" s="24"/>
      <c r="F866" s="24"/>
      <c r="G866" s="24"/>
      <c r="H866" s="24"/>
      <c r="I866" s="24"/>
      <c r="J866" s="24" t="str">
        <f t="shared" si="25"/>
        <v/>
      </c>
      <c r="K866" s="24">
        <f t="shared" si="26"/>
        <v>760</v>
      </c>
    </row>
    <row r="867" spans="1:11">
      <c r="A867" s="35"/>
      <c r="B867" s="24">
        <v>59</v>
      </c>
      <c r="C867" s="23"/>
      <c r="D867" s="23"/>
      <c r="E867" s="24"/>
      <c r="F867" s="24"/>
      <c r="G867" s="24"/>
      <c r="H867" s="24"/>
      <c r="I867" s="24"/>
      <c r="J867" s="24" t="str">
        <f t="shared" si="25"/>
        <v/>
      </c>
      <c r="K867" s="24">
        <f t="shared" si="26"/>
        <v>760</v>
      </c>
    </row>
    <row r="868" spans="1:11">
      <c r="A868" s="35"/>
      <c r="B868" s="24">
        <v>60</v>
      </c>
      <c r="C868" s="23"/>
      <c r="D868" s="23"/>
      <c r="E868" s="24"/>
      <c r="F868" s="24"/>
      <c r="G868" s="24"/>
      <c r="H868" s="24"/>
      <c r="I868" s="24"/>
      <c r="J868" s="24" t="str">
        <f t="shared" si="25"/>
        <v/>
      </c>
      <c r="K868" s="24">
        <f t="shared" si="26"/>
        <v>760</v>
      </c>
    </row>
    <row r="869" spans="1:11">
      <c r="A869" s="35"/>
      <c r="B869" s="34"/>
      <c r="C869" s="34"/>
      <c r="D869" s="34"/>
      <c r="E869" s="34"/>
      <c r="F869" s="34"/>
      <c r="G869" s="34"/>
      <c r="H869" s="34"/>
      <c r="I869" s="33" t="s">
        <v>31</v>
      </c>
      <c r="J869" s="33"/>
      <c r="K869" s="24">
        <f>SUM(K809:K868)</f>
        <v>31590</v>
      </c>
    </row>
    <row r="870" spans="1:11">
      <c r="I870" s="27"/>
      <c r="J870" s="27"/>
      <c r="K870" s="24"/>
    </row>
    <row r="871" spans="1:11">
      <c r="I871" s="27"/>
      <c r="J871" s="27"/>
      <c r="K871" s="24"/>
    </row>
    <row r="873" spans="1:11">
      <c r="A873" s="23">
        <v>14</v>
      </c>
      <c r="B873" s="23" t="s">
        <v>0</v>
      </c>
      <c r="C873" s="28" t="str">
        <f>IF('Navigation and Summary'!$B$22="", "", 'Navigation and Summary'!$B$22)</f>
        <v>BASIC 5A</v>
      </c>
      <c r="D873" s="28"/>
      <c r="E873" s="23" t="s">
        <v>37</v>
      </c>
      <c r="F873" s="24">
        <f>IF('Navigation and Summary'!$C$22="", "", 'Navigation and Summary'!$C$22)</f>
        <v>760</v>
      </c>
      <c r="G873" s="23" t="s">
        <v>34</v>
      </c>
      <c r="H873" s="24" t="str">
        <f>IF(C873="", "", 'Navigation and Summary'!$G$6)</f>
        <v>2025-26</v>
      </c>
    </row>
    <row r="874" spans="1:11">
      <c r="A874" s="35"/>
      <c r="B874" s="35" t="s">
        <v>32</v>
      </c>
      <c r="C874" s="35"/>
      <c r="D874" s="35"/>
      <c r="E874" s="35"/>
      <c r="F874" s="35"/>
      <c r="G874" s="35"/>
      <c r="H874" s="35"/>
      <c r="I874" s="23"/>
      <c r="J874" s="23"/>
      <c r="K874" s="23"/>
    </row>
    <row r="875" spans="1:11" ht="28.5">
      <c r="A875" s="35"/>
      <c r="B875" s="25" t="s">
        <v>1</v>
      </c>
      <c r="C875" s="25" t="s">
        <v>2</v>
      </c>
      <c r="D875" s="25" t="s">
        <v>745</v>
      </c>
      <c r="E875" s="25" t="s">
        <v>3</v>
      </c>
      <c r="F875" s="25" t="s">
        <v>4</v>
      </c>
      <c r="G875" s="25" t="s">
        <v>5</v>
      </c>
      <c r="H875" s="25" t="s">
        <v>6</v>
      </c>
      <c r="I875" s="25" t="s">
        <v>7</v>
      </c>
      <c r="J875" s="25" t="s">
        <v>8</v>
      </c>
      <c r="K875" s="25" t="s">
        <v>9</v>
      </c>
    </row>
    <row r="876" spans="1:11">
      <c r="A876" s="35"/>
      <c r="B876" s="24">
        <v>1</v>
      </c>
      <c r="C876" s="23" t="s">
        <v>338</v>
      </c>
      <c r="D876" s="23" t="s">
        <v>746</v>
      </c>
      <c r="E876" s="24">
        <v>200</v>
      </c>
      <c r="F876" s="24"/>
      <c r="G876" s="24"/>
      <c r="H876" s="24"/>
      <c r="I876" s="24"/>
      <c r="J876" s="24">
        <f>IF(SUM(E876:I876)=0, "", SUM(E876:I876))</f>
        <v>200</v>
      </c>
      <c r="K876" s="24">
        <f xml:space="preserve"> IFERROR(IF(($F$873-J876)=0, 0, ($F$873-J876)),$F$873)</f>
        <v>560</v>
      </c>
    </row>
    <row r="877" spans="1:11">
      <c r="A877" s="35"/>
      <c r="B877" s="24">
        <v>2</v>
      </c>
      <c r="C877" s="23" t="s">
        <v>339</v>
      </c>
      <c r="D877" s="23" t="s">
        <v>746</v>
      </c>
      <c r="E877" s="24">
        <v>600</v>
      </c>
      <c r="F877" s="24"/>
      <c r="G877" s="24"/>
      <c r="H877" s="24"/>
      <c r="I877" s="24"/>
      <c r="J877" s="24">
        <f t="shared" ref="J877:J935" si="27">IF(SUM(E877:I877)=0, "", SUM(E877:I877))</f>
        <v>600</v>
      </c>
      <c r="K877" s="24">
        <f t="shared" ref="K877:K935" si="28" xml:space="preserve"> IFERROR(IF(($F$873-J877)=0, 0, ($F$873-J877)),$F$873)</f>
        <v>160</v>
      </c>
    </row>
    <row r="878" spans="1:11">
      <c r="A878" s="35"/>
      <c r="B878" s="24">
        <v>3</v>
      </c>
      <c r="C878" s="23" t="s">
        <v>340</v>
      </c>
      <c r="D878" s="23" t="s">
        <v>747</v>
      </c>
      <c r="E878" s="24">
        <v>300</v>
      </c>
      <c r="F878" s="24">
        <v>200</v>
      </c>
      <c r="G878" s="24"/>
      <c r="H878" s="24"/>
      <c r="I878" s="24"/>
      <c r="J878" s="24">
        <f t="shared" si="27"/>
        <v>500</v>
      </c>
      <c r="K878" s="24">
        <f t="shared" si="28"/>
        <v>260</v>
      </c>
    </row>
    <row r="879" spans="1:11">
      <c r="A879" s="35"/>
      <c r="B879" s="24">
        <v>4</v>
      </c>
      <c r="C879" s="23" t="s">
        <v>341</v>
      </c>
      <c r="D879" s="23" t="s">
        <v>747</v>
      </c>
      <c r="E879" s="24">
        <v>200</v>
      </c>
      <c r="F879" s="24">
        <v>100</v>
      </c>
      <c r="G879" s="24">
        <v>150</v>
      </c>
      <c r="H879" s="24">
        <v>150</v>
      </c>
      <c r="I879" s="24"/>
      <c r="J879" s="24">
        <f t="shared" si="27"/>
        <v>600</v>
      </c>
      <c r="K879" s="24">
        <f t="shared" si="28"/>
        <v>160</v>
      </c>
    </row>
    <row r="880" spans="1:11">
      <c r="A880" s="35"/>
      <c r="B880" s="24">
        <v>5</v>
      </c>
      <c r="C880" s="23"/>
      <c r="D880" s="23"/>
      <c r="E880" s="24"/>
      <c r="F880" s="24"/>
      <c r="G880" s="24"/>
      <c r="H880" s="24"/>
      <c r="I880" s="24"/>
      <c r="J880" s="24" t="str">
        <f t="shared" si="27"/>
        <v/>
      </c>
      <c r="K880" s="24">
        <f t="shared" si="28"/>
        <v>760</v>
      </c>
    </row>
    <row r="881" spans="1:11">
      <c r="A881" s="35"/>
      <c r="B881" s="24">
        <v>6</v>
      </c>
      <c r="C881" s="23" t="s">
        <v>342</v>
      </c>
      <c r="D881" s="23" t="s">
        <v>746</v>
      </c>
      <c r="E881" s="24">
        <v>300</v>
      </c>
      <c r="F881" s="24"/>
      <c r="G881" s="24"/>
      <c r="H881" s="24"/>
      <c r="I881" s="24"/>
      <c r="J881" s="24">
        <f t="shared" si="27"/>
        <v>300</v>
      </c>
      <c r="K881" s="24">
        <f t="shared" si="28"/>
        <v>460</v>
      </c>
    </row>
    <row r="882" spans="1:11">
      <c r="A882" s="35"/>
      <c r="B882" s="24">
        <v>7</v>
      </c>
      <c r="C882" s="23" t="s">
        <v>343</v>
      </c>
      <c r="D882" s="23" t="s">
        <v>747</v>
      </c>
      <c r="E882" s="24">
        <v>300</v>
      </c>
      <c r="F882" s="24"/>
      <c r="G882" s="24"/>
      <c r="H882" s="24"/>
      <c r="I882" s="24"/>
      <c r="J882" s="24">
        <f t="shared" si="27"/>
        <v>300</v>
      </c>
      <c r="K882" s="24">
        <f t="shared" si="28"/>
        <v>460</v>
      </c>
    </row>
    <row r="883" spans="1:11">
      <c r="A883" s="35"/>
      <c r="B883" s="24">
        <v>8</v>
      </c>
      <c r="C883" s="23" t="s">
        <v>344</v>
      </c>
      <c r="D883" s="23" t="s">
        <v>746</v>
      </c>
      <c r="E883" s="24">
        <v>200</v>
      </c>
      <c r="F883" s="24"/>
      <c r="G883" s="24"/>
      <c r="H883" s="24"/>
      <c r="I883" s="24"/>
      <c r="J883" s="24">
        <f t="shared" si="27"/>
        <v>200</v>
      </c>
      <c r="K883" s="24">
        <f t="shared" si="28"/>
        <v>560</v>
      </c>
    </row>
    <row r="884" spans="1:11">
      <c r="A884" s="35"/>
      <c r="B884" s="24">
        <v>9</v>
      </c>
      <c r="C884" s="23" t="s">
        <v>623</v>
      </c>
      <c r="D884" s="23" t="s">
        <v>747</v>
      </c>
      <c r="E884" s="24">
        <v>400</v>
      </c>
      <c r="F884" s="24"/>
      <c r="G884" s="24"/>
      <c r="H884" s="24"/>
      <c r="I884" s="24"/>
      <c r="J884" s="24">
        <f t="shared" si="27"/>
        <v>400</v>
      </c>
      <c r="K884" s="24">
        <f t="shared" si="28"/>
        <v>360</v>
      </c>
    </row>
    <row r="885" spans="1:11">
      <c r="A885" s="35"/>
      <c r="B885" s="24">
        <v>10</v>
      </c>
      <c r="C885" s="23" t="s">
        <v>345</v>
      </c>
      <c r="D885" s="23" t="s">
        <v>746</v>
      </c>
      <c r="E885" s="24">
        <v>200</v>
      </c>
      <c r="F885" s="24">
        <v>200</v>
      </c>
      <c r="G885" s="24"/>
      <c r="H885" s="24"/>
      <c r="I885" s="24"/>
      <c r="J885" s="24">
        <f t="shared" si="27"/>
        <v>400</v>
      </c>
      <c r="K885" s="24">
        <f t="shared" si="28"/>
        <v>360</v>
      </c>
    </row>
    <row r="886" spans="1:11">
      <c r="A886" s="35"/>
      <c r="B886" s="24">
        <v>11</v>
      </c>
      <c r="C886" s="23" t="s">
        <v>346</v>
      </c>
      <c r="D886" s="23" t="s">
        <v>746</v>
      </c>
      <c r="E886" s="24">
        <v>100</v>
      </c>
      <c r="F886" s="24"/>
      <c r="G886" s="24"/>
      <c r="H886" s="24"/>
      <c r="I886" s="24"/>
      <c r="J886" s="24">
        <f t="shared" si="27"/>
        <v>100</v>
      </c>
      <c r="K886" s="24">
        <f t="shared" si="28"/>
        <v>660</v>
      </c>
    </row>
    <row r="887" spans="1:11">
      <c r="A887" s="35"/>
      <c r="B887" s="24">
        <v>12</v>
      </c>
      <c r="C887" s="23" t="s">
        <v>347</v>
      </c>
      <c r="D887" s="23" t="s">
        <v>746</v>
      </c>
      <c r="E887" s="24">
        <v>500</v>
      </c>
      <c r="F887" s="24"/>
      <c r="G887" s="24"/>
      <c r="H887" s="24"/>
      <c r="I887" s="24"/>
      <c r="J887" s="24">
        <f t="shared" si="27"/>
        <v>500</v>
      </c>
      <c r="K887" s="24">
        <f t="shared" si="28"/>
        <v>260</v>
      </c>
    </row>
    <row r="888" spans="1:11">
      <c r="A888" s="35"/>
      <c r="B888" s="24">
        <v>13</v>
      </c>
      <c r="C888" s="23" t="s">
        <v>348</v>
      </c>
      <c r="D888" s="23" t="s">
        <v>747</v>
      </c>
      <c r="E888" s="24"/>
      <c r="F888" s="24"/>
      <c r="G888" s="24"/>
      <c r="H888" s="24"/>
      <c r="I888" s="24"/>
      <c r="J888" s="24" t="str">
        <f t="shared" si="27"/>
        <v/>
      </c>
      <c r="K888" s="24">
        <f t="shared" si="28"/>
        <v>760</v>
      </c>
    </row>
    <row r="889" spans="1:11">
      <c r="A889" s="35"/>
      <c r="B889" s="24">
        <v>14</v>
      </c>
      <c r="C889" s="23" t="s">
        <v>349</v>
      </c>
      <c r="D889" s="23" t="s">
        <v>746</v>
      </c>
      <c r="E889" s="24">
        <v>380</v>
      </c>
      <c r="F889" s="24"/>
      <c r="G889" s="24"/>
      <c r="H889" s="24"/>
      <c r="I889" s="24"/>
      <c r="J889" s="24">
        <f t="shared" si="27"/>
        <v>380</v>
      </c>
      <c r="K889" s="24">
        <f t="shared" si="28"/>
        <v>380</v>
      </c>
    </row>
    <row r="890" spans="1:11">
      <c r="A890" s="35"/>
      <c r="B890" s="24">
        <v>15</v>
      </c>
      <c r="C890" s="23" t="s">
        <v>350</v>
      </c>
      <c r="D890" s="23" t="s">
        <v>747</v>
      </c>
      <c r="E890" s="24"/>
      <c r="F890" s="24"/>
      <c r="G890" s="24"/>
      <c r="H890" s="24"/>
      <c r="I890" s="24"/>
      <c r="J890" s="24" t="str">
        <f t="shared" si="27"/>
        <v/>
      </c>
      <c r="K890" s="24">
        <f t="shared" si="28"/>
        <v>760</v>
      </c>
    </row>
    <row r="891" spans="1:11">
      <c r="A891" s="35"/>
      <c r="B891" s="24">
        <v>16</v>
      </c>
      <c r="C891" s="23" t="s">
        <v>701</v>
      </c>
      <c r="D891" s="23" t="s">
        <v>747</v>
      </c>
      <c r="E891" s="24">
        <v>500</v>
      </c>
      <c r="F891" s="24"/>
      <c r="G891" s="24"/>
      <c r="H891" s="24"/>
      <c r="I891" s="24"/>
      <c r="J891" s="24">
        <f t="shared" si="27"/>
        <v>500</v>
      </c>
      <c r="K891" s="24">
        <f t="shared" si="28"/>
        <v>260</v>
      </c>
    </row>
    <row r="892" spans="1:11">
      <c r="A892" s="35"/>
      <c r="B892" s="24">
        <v>17</v>
      </c>
      <c r="C892" s="23" t="s">
        <v>352</v>
      </c>
      <c r="D892" s="23" t="s">
        <v>747</v>
      </c>
      <c r="E892" s="24">
        <v>450</v>
      </c>
      <c r="F892" s="24">
        <v>50</v>
      </c>
      <c r="G892" s="24"/>
      <c r="H892" s="24"/>
      <c r="I892" s="24"/>
      <c r="J892" s="24">
        <f t="shared" si="27"/>
        <v>500</v>
      </c>
      <c r="K892" s="24">
        <f t="shared" si="28"/>
        <v>260</v>
      </c>
    </row>
    <row r="893" spans="1:11">
      <c r="A893" s="35"/>
      <c r="B893" s="24">
        <v>18</v>
      </c>
      <c r="C893" s="23" t="s">
        <v>353</v>
      </c>
      <c r="D893" s="23" t="s">
        <v>746</v>
      </c>
      <c r="E893" s="24">
        <v>400</v>
      </c>
      <c r="F893" s="24"/>
      <c r="G893" s="24"/>
      <c r="H893" s="24"/>
      <c r="I893" s="24"/>
      <c r="J893" s="24">
        <f t="shared" si="27"/>
        <v>400</v>
      </c>
      <c r="K893" s="24">
        <f t="shared" si="28"/>
        <v>360</v>
      </c>
    </row>
    <row r="894" spans="1:11">
      <c r="A894" s="35"/>
      <c r="B894" s="24">
        <v>19</v>
      </c>
      <c r="C894" s="23" t="s">
        <v>354</v>
      </c>
      <c r="D894" s="23" t="s">
        <v>747</v>
      </c>
      <c r="E894" s="24">
        <v>200</v>
      </c>
      <c r="F894" s="24"/>
      <c r="G894" s="24"/>
      <c r="H894" s="24"/>
      <c r="I894" s="24"/>
      <c r="J894" s="24">
        <f t="shared" si="27"/>
        <v>200</v>
      </c>
      <c r="K894" s="24">
        <f t="shared" si="28"/>
        <v>560</v>
      </c>
    </row>
    <row r="895" spans="1:11">
      <c r="A895" s="35"/>
      <c r="B895" s="24">
        <v>20</v>
      </c>
      <c r="C895" s="23" t="s">
        <v>355</v>
      </c>
      <c r="D895" s="23" t="s">
        <v>746</v>
      </c>
      <c r="E895" s="24">
        <v>460</v>
      </c>
      <c r="F895" s="24">
        <v>300</v>
      </c>
      <c r="G895" s="24"/>
      <c r="H895" s="24"/>
      <c r="I895" s="24"/>
      <c r="J895" s="24">
        <f t="shared" si="27"/>
        <v>760</v>
      </c>
      <c r="K895" s="24">
        <f t="shared" si="28"/>
        <v>0</v>
      </c>
    </row>
    <row r="896" spans="1:11">
      <c r="A896" s="35"/>
      <c r="B896" s="24">
        <v>21</v>
      </c>
      <c r="C896" s="23" t="s">
        <v>356</v>
      </c>
      <c r="D896" s="23" t="s">
        <v>747</v>
      </c>
      <c r="E896" s="24">
        <v>250</v>
      </c>
      <c r="F896" s="24"/>
      <c r="G896" s="24"/>
      <c r="H896" s="24"/>
      <c r="I896" s="24"/>
      <c r="J896" s="24">
        <f t="shared" si="27"/>
        <v>250</v>
      </c>
      <c r="K896" s="24">
        <f t="shared" si="28"/>
        <v>510</v>
      </c>
    </row>
    <row r="897" spans="1:11">
      <c r="A897" s="35"/>
      <c r="B897" s="24">
        <v>22</v>
      </c>
      <c r="C897" s="23" t="s">
        <v>357</v>
      </c>
      <c r="D897" s="23" t="s">
        <v>747</v>
      </c>
      <c r="E897" s="24">
        <v>100</v>
      </c>
      <c r="F897" s="24">
        <v>100</v>
      </c>
      <c r="G897" s="24">
        <v>100</v>
      </c>
      <c r="H897" s="24"/>
      <c r="I897" s="24"/>
      <c r="J897" s="24">
        <f t="shared" si="27"/>
        <v>300</v>
      </c>
      <c r="K897" s="24">
        <f t="shared" si="28"/>
        <v>460</v>
      </c>
    </row>
    <row r="898" spans="1:11">
      <c r="A898" s="35"/>
      <c r="B898" s="24">
        <v>23</v>
      </c>
      <c r="C898" s="23" t="s">
        <v>358</v>
      </c>
      <c r="D898" s="23" t="s">
        <v>746</v>
      </c>
      <c r="E898" s="24">
        <v>300</v>
      </c>
      <c r="F898" s="24">
        <v>100</v>
      </c>
      <c r="G898" s="24">
        <v>360</v>
      </c>
      <c r="H898" s="24"/>
      <c r="I898" s="24"/>
      <c r="J898" s="24">
        <f t="shared" si="27"/>
        <v>760</v>
      </c>
      <c r="K898" s="24">
        <f t="shared" si="28"/>
        <v>0</v>
      </c>
    </row>
    <row r="899" spans="1:11">
      <c r="A899" s="35"/>
      <c r="B899" s="24">
        <v>24</v>
      </c>
      <c r="C899" s="23" t="s">
        <v>731</v>
      </c>
      <c r="D899" s="23" t="s">
        <v>746</v>
      </c>
      <c r="E899" s="24">
        <v>760</v>
      </c>
      <c r="F899" s="24"/>
      <c r="G899" s="24"/>
      <c r="H899" s="24"/>
      <c r="I899" s="24"/>
      <c r="J899" s="24">
        <f t="shared" si="27"/>
        <v>760</v>
      </c>
      <c r="K899" s="24">
        <f t="shared" si="28"/>
        <v>0</v>
      </c>
    </row>
    <row r="900" spans="1:11">
      <c r="A900" s="35"/>
      <c r="B900" s="24">
        <v>25</v>
      </c>
      <c r="C900" s="23" t="s">
        <v>359</v>
      </c>
      <c r="D900" s="23" t="s">
        <v>746</v>
      </c>
      <c r="E900" s="24">
        <v>200</v>
      </c>
      <c r="F900" s="24"/>
      <c r="G900" s="24"/>
      <c r="H900" s="24"/>
      <c r="I900" s="24"/>
      <c r="J900" s="24">
        <f t="shared" si="27"/>
        <v>200</v>
      </c>
      <c r="K900" s="24">
        <f t="shared" si="28"/>
        <v>560</v>
      </c>
    </row>
    <row r="901" spans="1:11">
      <c r="A901" s="35"/>
      <c r="B901" s="24">
        <v>26</v>
      </c>
      <c r="C901" s="23" t="s">
        <v>360</v>
      </c>
      <c r="D901" s="23" t="s">
        <v>747</v>
      </c>
      <c r="E901" s="24">
        <v>300</v>
      </c>
      <c r="F901" s="24">
        <v>300</v>
      </c>
      <c r="G901" s="24"/>
      <c r="H901" s="24"/>
      <c r="I901" s="24"/>
      <c r="J901" s="24">
        <f t="shared" si="27"/>
        <v>600</v>
      </c>
      <c r="K901" s="24">
        <f t="shared" si="28"/>
        <v>160</v>
      </c>
    </row>
    <row r="902" spans="1:11">
      <c r="A902" s="35"/>
      <c r="B902" s="24">
        <v>27</v>
      </c>
      <c r="C902" s="23" t="s">
        <v>361</v>
      </c>
      <c r="D902" s="23" t="s">
        <v>747</v>
      </c>
      <c r="E902" s="24">
        <v>760</v>
      </c>
      <c r="F902" s="24"/>
      <c r="G902" s="24"/>
      <c r="H902" s="24"/>
      <c r="I902" s="24"/>
      <c r="J902" s="24">
        <f t="shared" si="27"/>
        <v>760</v>
      </c>
      <c r="K902" s="24">
        <f t="shared" si="28"/>
        <v>0</v>
      </c>
    </row>
    <row r="903" spans="1:11">
      <c r="A903" s="35"/>
      <c r="B903" s="24">
        <v>28</v>
      </c>
      <c r="C903" s="23" t="s">
        <v>617</v>
      </c>
      <c r="D903" s="23" t="s">
        <v>746</v>
      </c>
      <c r="E903" s="24">
        <v>760</v>
      </c>
      <c r="F903" s="24"/>
      <c r="G903" s="24"/>
      <c r="H903" s="24"/>
      <c r="I903" s="24"/>
      <c r="J903" s="24">
        <f t="shared" si="27"/>
        <v>760</v>
      </c>
      <c r="K903" s="24">
        <f t="shared" si="28"/>
        <v>0</v>
      </c>
    </row>
    <row r="904" spans="1:11">
      <c r="A904" s="35"/>
      <c r="B904" s="24">
        <v>29</v>
      </c>
      <c r="C904" s="23" t="s">
        <v>362</v>
      </c>
      <c r="D904" s="23" t="s">
        <v>746</v>
      </c>
      <c r="E904" s="24"/>
      <c r="F904" s="24"/>
      <c r="G904" s="24"/>
      <c r="H904" s="24"/>
      <c r="I904" s="24"/>
      <c r="J904" s="24" t="str">
        <f t="shared" si="27"/>
        <v/>
      </c>
      <c r="K904" s="24">
        <f t="shared" si="28"/>
        <v>760</v>
      </c>
    </row>
    <row r="905" spans="1:11">
      <c r="A905" s="35"/>
      <c r="B905" s="24">
        <v>30</v>
      </c>
      <c r="C905" s="23" t="s">
        <v>363</v>
      </c>
      <c r="D905" s="23" t="s">
        <v>746</v>
      </c>
      <c r="E905" s="24">
        <v>200</v>
      </c>
      <c r="F905" s="24">
        <v>100</v>
      </c>
      <c r="G905" s="24">
        <v>50</v>
      </c>
      <c r="H905" s="24"/>
      <c r="I905" s="24"/>
      <c r="J905" s="24">
        <f t="shared" si="27"/>
        <v>350</v>
      </c>
      <c r="K905" s="24">
        <f t="shared" si="28"/>
        <v>410</v>
      </c>
    </row>
    <row r="906" spans="1:11">
      <c r="A906" s="35"/>
      <c r="B906" s="24">
        <v>31</v>
      </c>
      <c r="C906" s="23" t="s">
        <v>607</v>
      </c>
      <c r="D906" s="23" t="s">
        <v>747</v>
      </c>
      <c r="E906" s="24">
        <v>300</v>
      </c>
      <c r="F906" s="24"/>
      <c r="G906" s="24"/>
      <c r="H906" s="24"/>
      <c r="I906" s="24"/>
      <c r="J906" s="24">
        <f t="shared" si="27"/>
        <v>300</v>
      </c>
      <c r="K906" s="24">
        <f t="shared" si="28"/>
        <v>460</v>
      </c>
    </row>
    <row r="907" spans="1:11">
      <c r="A907" s="35"/>
      <c r="B907" s="24">
        <v>32</v>
      </c>
      <c r="C907" s="23" t="s">
        <v>364</v>
      </c>
      <c r="D907" s="23" t="s">
        <v>746</v>
      </c>
      <c r="E907" s="24">
        <v>750</v>
      </c>
      <c r="F907" s="24"/>
      <c r="G907" s="24"/>
      <c r="H907" s="24"/>
      <c r="I907" s="24"/>
      <c r="J907" s="24">
        <f t="shared" si="27"/>
        <v>750</v>
      </c>
      <c r="K907" s="24">
        <f t="shared" si="28"/>
        <v>10</v>
      </c>
    </row>
    <row r="908" spans="1:11">
      <c r="A908" s="35"/>
      <c r="B908" s="24">
        <v>33</v>
      </c>
      <c r="C908" s="23" t="s">
        <v>687</v>
      </c>
      <c r="D908" s="23" t="s">
        <v>747</v>
      </c>
      <c r="E908" s="24">
        <v>760</v>
      </c>
      <c r="F908" s="24"/>
      <c r="G908" s="24"/>
      <c r="H908" s="24"/>
      <c r="I908" s="24"/>
      <c r="J908" s="24">
        <f t="shared" si="27"/>
        <v>760</v>
      </c>
      <c r="K908" s="24">
        <f t="shared" si="28"/>
        <v>0</v>
      </c>
    </row>
    <row r="909" spans="1:11">
      <c r="A909" s="35"/>
      <c r="B909" s="24">
        <v>34</v>
      </c>
      <c r="C909" s="23" t="s">
        <v>365</v>
      </c>
      <c r="D909" s="23" t="s">
        <v>747</v>
      </c>
      <c r="E909" s="24">
        <v>300</v>
      </c>
      <c r="F909" s="24"/>
      <c r="G909" s="24"/>
      <c r="H909" s="24"/>
      <c r="I909" s="24"/>
      <c r="J909" s="24">
        <f t="shared" si="27"/>
        <v>300</v>
      </c>
      <c r="K909" s="24">
        <f t="shared" si="28"/>
        <v>460</v>
      </c>
    </row>
    <row r="910" spans="1:11">
      <c r="A910" s="35"/>
      <c r="B910" s="24">
        <v>35</v>
      </c>
      <c r="C910" s="23" t="s">
        <v>366</v>
      </c>
      <c r="D910" s="23" t="s">
        <v>746</v>
      </c>
      <c r="E910" s="24">
        <v>200</v>
      </c>
      <c r="F910" s="24"/>
      <c r="G910" s="24"/>
      <c r="H910" s="24"/>
      <c r="I910" s="24"/>
      <c r="J910" s="24">
        <f t="shared" si="27"/>
        <v>200</v>
      </c>
      <c r="K910" s="24">
        <f t="shared" si="28"/>
        <v>560</v>
      </c>
    </row>
    <row r="911" spans="1:11">
      <c r="A911" s="35"/>
      <c r="B911" s="24">
        <v>36</v>
      </c>
      <c r="C911" s="23" t="s">
        <v>367</v>
      </c>
      <c r="D911" s="23" t="s">
        <v>746</v>
      </c>
      <c r="E911" s="24">
        <v>100</v>
      </c>
      <c r="F911" s="24">
        <v>150</v>
      </c>
      <c r="G911" s="24">
        <v>100</v>
      </c>
      <c r="H911" s="24">
        <v>200</v>
      </c>
      <c r="I911" s="24">
        <v>100</v>
      </c>
      <c r="J911" s="24">
        <f t="shared" si="27"/>
        <v>650</v>
      </c>
      <c r="K911" s="24">
        <f t="shared" si="28"/>
        <v>110</v>
      </c>
    </row>
    <row r="912" spans="1:11">
      <c r="A912" s="35"/>
      <c r="B912" s="24">
        <v>37</v>
      </c>
      <c r="C912" s="23" t="s">
        <v>368</v>
      </c>
      <c r="D912" s="23" t="s">
        <v>747</v>
      </c>
      <c r="E912" s="24">
        <v>250</v>
      </c>
      <c r="F912" s="24">
        <v>200</v>
      </c>
      <c r="G912" s="24"/>
      <c r="H912" s="24"/>
      <c r="I912" s="24"/>
      <c r="J912" s="24">
        <f t="shared" si="27"/>
        <v>450</v>
      </c>
      <c r="K912" s="24">
        <f t="shared" si="28"/>
        <v>310</v>
      </c>
    </row>
    <row r="913" spans="1:11">
      <c r="A913" s="35"/>
      <c r="B913" s="24">
        <v>38</v>
      </c>
      <c r="C913" s="23" t="s">
        <v>369</v>
      </c>
      <c r="D913" s="23" t="s">
        <v>746</v>
      </c>
      <c r="E913" s="24">
        <v>350</v>
      </c>
      <c r="F913" s="24">
        <v>410</v>
      </c>
      <c r="G913" s="24"/>
      <c r="H913" s="24"/>
      <c r="I913" s="24"/>
      <c r="J913" s="24">
        <f t="shared" si="27"/>
        <v>760</v>
      </c>
      <c r="K913" s="24">
        <f t="shared" si="28"/>
        <v>0</v>
      </c>
    </row>
    <row r="914" spans="1:11">
      <c r="A914" s="35"/>
      <c r="B914" s="24">
        <v>39</v>
      </c>
      <c r="C914" s="23"/>
      <c r="D914" s="23"/>
      <c r="E914" s="24"/>
      <c r="F914" s="24"/>
      <c r="G914" s="24"/>
      <c r="H914" s="24"/>
      <c r="I914" s="24"/>
      <c r="J914" s="24" t="str">
        <f t="shared" si="27"/>
        <v/>
      </c>
      <c r="K914" s="24">
        <f t="shared" si="28"/>
        <v>760</v>
      </c>
    </row>
    <row r="915" spans="1:11">
      <c r="A915" s="35"/>
      <c r="B915" s="24">
        <v>40</v>
      </c>
      <c r="C915" s="23"/>
      <c r="D915" s="23"/>
      <c r="E915" s="24"/>
      <c r="F915" s="24"/>
      <c r="G915" s="24"/>
      <c r="H915" s="24"/>
      <c r="I915" s="24"/>
      <c r="J915" s="24" t="str">
        <f t="shared" si="27"/>
        <v/>
      </c>
      <c r="K915" s="24">
        <f t="shared" si="28"/>
        <v>760</v>
      </c>
    </row>
    <row r="916" spans="1:11">
      <c r="A916" s="35"/>
      <c r="B916" s="24">
        <v>41</v>
      </c>
      <c r="C916" s="23"/>
      <c r="D916" s="23"/>
      <c r="E916" s="24"/>
      <c r="F916" s="24"/>
      <c r="G916" s="24"/>
      <c r="H916" s="24"/>
      <c r="I916" s="24"/>
      <c r="J916" s="24" t="str">
        <f t="shared" si="27"/>
        <v/>
      </c>
      <c r="K916" s="24">
        <f t="shared" si="28"/>
        <v>760</v>
      </c>
    </row>
    <row r="917" spans="1:11">
      <c r="A917" s="35"/>
      <c r="B917" s="24">
        <v>42</v>
      </c>
      <c r="C917" s="23"/>
      <c r="D917" s="23"/>
      <c r="E917" s="24"/>
      <c r="F917" s="24"/>
      <c r="G917" s="24"/>
      <c r="H917" s="24"/>
      <c r="I917" s="24"/>
      <c r="J917" s="24" t="str">
        <f t="shared" si="27"/>
        <v/>
      </c>
      <c r="K917" s="24">
        <f t="shared" si="28"/>
        <v>760</v>
      </c>
    </row>
    <row r="918" spans="1:11">
      <c r="A918" s="35"/>
      <c r="B918" s="24">
        <v>43</v>
      </c>
      <c r="C918" s="23"/>
      <c r="D918" s="23"/>
      <c r="E918" s="24"/>
      <c r="F918" s="24"/>
      <c r="G918" s="24"/>
      <c r="H918" s="24"/>
      <c r="I918" s="24"/>
      <c r="J918" s="24" t="str">
        <f t="shared" si="27"/>
        <v/>
      </c>
      <c r="K918" s="24">
        <f t="shared" si="28"/>
        <v>760</v>
      </c>
    </row>
    <row r="919" spans="1:11">
      <c r="A919" s="35"/>
      <c r="B919" s="24">
        <v>44</v>
      </c>
      <c r="C919" s="23"/>
      <c r="D919" s="23"/>
      <c r="E919" s="24"/>
      <c r="F919" s="24"/>
      <c r="G919" s="24"/>
      <c r="H919" s="24"/>
      <c r="I919" s="24"/>
      <c r="J919" s="24" t="str">
        <f t="shared" si="27"/>
        <v/>
      </c>
      <c r="K919" s="24">
        <f t="shared" si="28"/>
        <v>760</v>
      </c>
    </row>
    <row r="920" spans="1:11">
      <c r="A920" s="35"/>
      <c r="B920" s="24">
        <v>45</v>
      </c>
      <c r="C920" s="23"/>
      <c r="D920" s="23"/>
      <c r="E920" s="24"/>
      <c r="F920" s="24"/>
      <c r="G920" s="24"/>
      <c r="H920" s="24"/>
      <c r="I920" s="24"/>
      <c r="J920" s="24" t="str">
        <f t="shared" si="27"/>
        <v/>
      </c>
      <c r="K920" s="24">
        <f t="shared" si="28"/>
        <v>760</v>
      </c>
    </row>
    <row r="921" spans="1:11">
      <c r="A921" s="35"/>
      <c r="B921" s="24">
        <v>46</v>
      </c>
      <c r="C921" s="23"/>
      <c r="D921" s="23"/>
      <c r="E921" s="24"/>
      <c r="F921" s="24"/>
      <c r="G921" s="24"/>
      <c r="H921" s="24"/>
      <c r="I921" s="24"/>
      <c r="J921" s="24" t="str">
        <f t="shared" si="27"/>
        <v/>
      </c>
      <c r="K921" s="24">
        <f t="shared" si="28"/>
        <v>760</v>
      </c>
    </row>
    <row r="922" spans="1:11">
      <c r="A922" s="35"/>
      <c r="B922" s="24">
        <v>47</v>
      </c>
      <c r="C922" s="23"/>
      <c r="D922" s="23"/>
      <c r="E922" s="24"/>
      <c r="F922" s="24"/>
      <c r="G922" s="24"/>
      <c r="H922" s="24"/>
      <c r="I922" s="24"/>
      <c r="J922" s="24" t="str">
        <f t="shared" si="27"/>
        <v/>
      </c>
      <c r="K922" s="24">
        <f t="shared" si="28"/>
        <v>760</v>
      </c>
    </row>
    <row r="923" spans="1:11">
      <c r="A923" s="35"/>
      <c r="B923" s="24">
        <v>48</v>
      </c>
      <c r="C923" s="23"/>
      <c r="D923" s="23"/>
      <c r="E923" s="24"/>
      <c r="F923" s="24"/>
      <c r="G923" s="24"/>
      <c r="H923" s="24"/>
      <c r="I923" s="24"/>
      <c r="J923" s="24" t="str">
        <f t="shared" si="27"/>
        <v/>
      </c>
      <c r="K923" s="24">
        <f t="shared" si="28"/>
        <v>760</v>
      </c>
    </row>
    <row r="924" spans="1:11">
      <c r="A924" s="35"/>
      <c r="B924" s="24">
        <v>49</v>
      </c>
      <c r="C924" s="23"/>
      <c r="D924" s="23"/>
      <c r="E924" s="24"/>
      <c r="F924" s="24"/>
      <c r="G924" s="24"/>
      <c r="H924" s="24"/>
      <c r="I924" s="24"/>
      <c r="J924" s="24" t="str">
        <f t="shared" si="27"/>
        <v/>
      </c>
      <c r="K924" s="24">
        <f t="shared" si="28"/>
        <v>760</v>
      </c>
    </row>
    <row r="925" spans="1:11">
      <c r="A925" s="35"/>
      <c r="B925" s="24">
        <v>50</v>
      </c>
      <c r="C925" s="23"/>
      <c r="D925" s="23"/>
      <c r="E925" s="24"/>
      <c r="F925" s="24"/>
      <c r="G925" s="24"/>
      <c r="H925" s="24"/>
      <c r="I925" s="24"/>
      <c r="J925" s="24" t="str">
        <f t="shared" si="27"/>
        <v/>
      </c>
      <c r="K925" s="24">
        <f t="shared" si="28"/>
        <v>760</v>
      </c>
    </row>
    <row r="926" spans="1:11">
      <c r="A926" s="35"/>
      <c r="B926" s="24">
        <v>51</v>
      </c>
      <c r="C926" s="23"/>
      <c r="D926" s="23"/>
      <c r="E926" s="24"/>
      <c r="F926" s="24"/>
      <c r="G926" s="24"/>
      <c r="H926" s="24"/>
      <c r="I926" s="24"/>
      <c r="J926" s="24" t="str">
        <f t="shared" si="27"/>
        <v/>
      </c>
      <c r="K926" s="24">
        <f t="shared" si="28"/>
        <v>760</v>
      </c>
    </row>
    <row r="927" spans="1:11">
      <c r="A927" s="35"/>
      <c r="B927" s="24">
        <v>52</v>
      </c>
      <c r="C927" s="23"/>
      <c r="D927" s="23"/>
      <c r="E927" s="24"/>
      <c r="F927" s="24"/>
      <c r="G927" s="24"/>
      <c r="H927" s="24"/>
      <c r="I927" s="24"/>
      <c r="J927" s="24" t="str">
        <f t="shared" si="27"/>
        <v/>
      </c>
      <c r="K927" s="24">
        <f t="shared" si="28"/>
        <v>760</v>
      </c>
    </row>
    <row r="928" spans="1:11">
      <c r="A928" s="35"/>
      <c r="B928" s="24">
        <v>53</v>
      </c>
      <c r="C928" s="23"/>
      <c r="D928" s="23"/>
      <c r="E928" s="24"/>
      <c r="F928" s="24"/>
      <c r="G928" s="24"/>
      <c r="H928" s="24"/>
      <c r="I928" s="24"/>
      <c r="J928" s="24" t="str">
        <f t="shared" si="27"/>
        <v/>
      </c>
      <c r="K928" s="24">
        <f t="shared" si="28"/>
        <v>760</v>
      </c>
    </row>
    <row r="929" spans="1:11">
      <c r="A929" s="35"/>
      <c r="B929" s="24">
        <v>54</v>
      </c>
      <c r="C929" s="23"/>
      <c r="D929" s="23"/>
      <c r="E929" s="24"/>
      <c r="F929" s="24"/>
      <c r="G929" s="24"/>
      <c r="H929" s="24"/>
      <c r="I929" s="24"/>
      <c r="J929" s="24" t="str">
        <f t="shared" si="27"/>
        <v/>
      </c>
      <c r="K929" s="24">
        <f t="shared" si="28"/>
        <v>760</v>
      </c>
    </row>
    <row r="930" spans="1:11">
      <c r="A930" s="35"/>
      <c r="B930" s="24">
        <v>55</v>
      </c>
      <c r="C930" s="23"/>
      <c r="D930" s="23"/>
      <c r="E930" s="24"/>
      <c r="F930" s="24"/>
      <c r="G930" s="24"/>
      <c r="H930" s="24"/>
      <c r="I930" s="24"/>
      <c r="J930" s="24" t="str">
        <f t="shared" si="27"/>
        <v/>
      </c>
      <c r="K930" s="24">
        <f t="shared" si="28"/>
        <v>760</v>
      </c>
    </row>
    <row r="931" spans="1:11">
      <c r="A931" s="35"/>
      <c r="B931" s="24">
        <v>56</v>
      </c>
      <c r="C931" s="23"/>
      <c r="D931" s="23"/>
      <c r="E931" s="24"/>
      <c r="F931" s="24"/>
      <c r="G931" s="24"/>
      <c r="H931" s="24"/>
      <c r="I931" s="24"/>
      <c r="J931" s="24" t="str">
        <f t="shared" si="27"/>
        <v/>
      </c>
      <c r="K931" s="24">
        <f t="shared" si="28"/>
        <v>760</v>
      </c>
    </row>
    <row r="932" spans="1:11">
      <c r="A932" s="35"/>
      <c r="B932" s="24">
        <v>57</v>
      </c>
      <c r="C932" s="23"/>
      <c r="D932" s="23"/>
      <c r="E932" s="24"/>
      <c r="F932" s="24"/>
      <c r="G932" s="24"/>
      <c r="H932" s="24"/>
      <c r="I932" s="24"/>
      <c r="J932" s="24" t="str">
        <f t="shared" si="27"/>
        <v/>
      </c>
      <c r="K932" s="24">
        <f t="shared" si="28"/>
        <v>760</v>
      </c>
    </row>
    <row r="933" spans="1:11">
      <c r="A933" s="35"/>
      <c r="B933" s="24">
        <v>58</v>
      </c>
      <c r="C933" s="23"/>
      <c r="D933" s="23"/>
      <c r="E933" s="24"/>
      <c r="F933" s="24"/>
      <c r="G933" s="24"/>
      <c r="H933" s="24"/>
      <c r="I933" s="24"/>
      <c r="J933" s="24" t="str">
        <f t="shared" si="27"/>
        <v/>
      </c>
      <c r="K933" s="24">
        <f t="shared" si="28"/>
        <v>760</v>
      </c>
    </row>
    <row r="934" spans="1:11">
      <c r="A934" s="35"/>
      <c r="B934" s="24">
        <v>59</v>
      </c>
      <c r="C934" s="23"/>
      <c r="D934" s="23"/>
      <c r="E934" s="24"/>
      <c r="F934" s="24"/>
      <c r="G934" s="24"/>
      <c r="H934" s="24"/>
      <c r="I934" s="24"/>
      <c r="J934" s="24" t="str">
        <f t="shared" si="27"/>
        <v/>
      </c>
      <c r="K934" s="24">
        <f t="shared" si="28"/>
        <v>760</v>
      </c>
    </row>
    <row r="935" spans="1:11">
      <c r="A935" s="35"/>
      <c r="B935" s="24">
        <v>60</v>
      </c>
      <c r="C935" s="23"/>
      <c r="D935" s="23"/>
      <c r="E935" s="24"/>
      <c r="F935" s="24"/>
      <c r="G935" s="24"/>
      <c r="H935" s="24"/>
      <c r="I935" s="24"/>
      <c r="J935" s="24" t="str">
        <f t="shared" si="27"/>
        <v/>
      </c>
      <c r="K935" s="24">
        <f t="shared" si="28"/>
        <v>760</v>
      </c>
    </row>
    <row r="936" spans="1:11">
      <c r="A936" s="35"/>
      <c r="B936" s="34"/>
      <c r="C936" s="34"/>
      <c r="D936" s="34"/>
      <c r="E936" s="34"/>
      <c r="F936" s="34"/>
      <c r="G936" s="34"/>
      <c r="H936" s="34"/>
      <c r="I936" s="33" t="s">
        <v>31</v>
      </c>
      <c r="J936" s="33"/>
      <c r="K936" s="24">
        <f>SUM(K876:K935)</f>
        <v>29850</v>
      </c>
    </row>
    <row r="937" spans="1:11">
      <c r="I937" s="27"/>
      <c r="J937" s="27"/>
      <c r="K937" s="24"/>
    </row>
    <row r="940" spans="1:11">
      <c r="A940" s="23">
        <v>15</v>
      </c>
      <c r="B940" s="23" t="s">
        <v>0</v>
      </c>
      <c r="C940" s="28" t="str">
        <f>IF('Navigation and Summary'!$B$23="", "", 'Navigation and Summary'!$B$23)</f>
        <v>BASIC 5B</v>
      </c>
      <c r="D940" s="28"/>
      <c r="E940" s="23" t="s">
        <v>37</v>
      </c>
      <c r="F940" s="24">
        <f>IF('Navigation and Summary'!$C$23="", "", 'Navigation and Summary'!$C$23)</f>
        <v>760</v>
      </c>
      <c r="G940" s="23" t="s">
        <v>34</v>
      </c>
      <c r="H940" s="24" t="str">
        <f>IF(C940="", "", 'Navigation and Summary'!$G$6)</f>
        <v>2025-26</v>
      </c>
    </row>
    <row r="941" spans="1:11">
      <c r="A941" s="35"/>
      <c r="B941" s="35" t="s">
        <v>32</v>
      </c>
      <c r="C941" s="35"/>
      <c r="D941" s="35"/>
      <c r="E941" s="35"/>
      <c r="F941" s="35"/>
      <c r="G941" s="35"/>
      <c r="H941" s="35"/>
      <c r="I941" s="23"/>
      <c r="J941" s="23"/>
      <c r="K941" s="23"/>
    </row>
    <row r="942" spans="1:11" ht="28.5">
      <c r="A942" s="35"/>
      <c r="B942" s="25" t="s">
        <v>1</v>
      </c>
      <c r="C942" s="25" t="s">
        <v>2</v>
      </c>
      <c r="D942" s="25" t="s">
        <v>745</v>
      </c>
      <c r="E942" s="25" t="s">
        <v>3</v>
      </c>
      <c r="F942" s="25" t="s">
        <v>4</v>
      </c>
      <c r="G942" s="25" t="s">
        <v>5</v>
      </c>
      <c r="H942" s="25" t="s">
        <v>6</v>
      </c>
      <c r="I942" s="25" t="s">
        <v>7</v>
      </c>
      <c r="J942" s="25" t="s">
        <v>8</v>
      </c>
      <c r="K942" s="25" t="s">
        <v>9</v>
      </c>
    </row>
    <row r="943" spans="1:11">
      <c r="A943" s="35"/>
      <c r="B943" s="24">
        <v>1</v>
      </c>
      <c r="C943" s="23" t="s">
        <v>412</v>
      </c>
      <c r="D943" s="23" t="s">
        <v>746</v>
      </c>
      <c r="E943" s="24"/>
      <c r="F943" s="24"/>
      <c r="G943" s="24"/>
      <c r="H943" s="24"/>
      <c r="I943" s="24"/>
      <c r="J943" s="24" t="str">
        <f>IF(SUM(E943:I943)=0, "", SUM(E943:I943))</f>
        <v/>
      </c>
      <c r="K943" s="24">
        <f xml:space="preserve"> IFERROR(IF(($F$940-J943)=0, 0, ($F$940-J943)),$F$940)</f>
        <v>760</v>
      </c>
    </row>
    <row r="944" spans="1:11">
      <c r="A944" s="35"/>
      <c r="B944" s="24">
        <v>2</v>
      </c>
      <c r="C944" s="23" t="s">
        <v>413</v>
      </c>
      <c r="D944" s="23" t="s">
        <v>747</v>
      </c>
      <c r="E944" s="24">
        <v>400</v>
      </c>
      <c r="F944" s="24">
        <v>300</v>
      </c>
      <c r="G944" s="24"/>
      <c r="H944" s="24"/>
      <c r="I944" s="24"/>
      <c r="J944" s="24">
        <f t="shared" ref="J944:J1002" si="29">IF(SUM(E944:I944)=0, "", SUM(E944:I944))</f>
        <v>700</v>
      </c>
      <c r="K944" s="24">
        <f t="shared" ref="K944:K1002" si="30" xml:space="preserve"> IFERROR(IF(($F$940-J944)=0, 0, ($F$940-J944)),$F$940)</f>
        <v>60</v>
      </c>
    </row>
    <row r="945" spans="1:11">
      <c r="A945" s="35"/>
      <c r="B945" s="24">
        <v>3</v>
      </c>
      <c r="C945" s="23" t="s">
        <v>414</v>
      </c>
      <c r="D945" s="23" t="s">
        <v>746</v>
      </c>
      <c r="E945" s="24">
        <v>500</v>
      </c>
      <c r="F945" s="24">
        <v>260</v>
      </c>
      <c r="G945" s="24"/>
      <c r="H945" s="24"/>
      <c r="I945" s="24"/>
      <c r="J945" s="24">
        <f t="shared" si="29"/>
        <v>760</v>
      </c>
      <c r="K945" s="24">
        <f t="shared" si="30"/>
        <v>0</v>
      </c>
    </row>
    <row r="946" spans="1:11">
      <c r="A946" s="35"/>
      <c r="B946" s="24">
        <v>4</v>
      </c>
      <c r="C946" s="23" t="s">
        <v>415</v>
      </c>
      <c r="D946" s="23" t="s">
        <v>746</v>
      </c>
      <c r="E946" s="24">
        <v>200</v>
      </c>
      <c r="F946" s="24">
        <v>300</v>
      </c>
      <c r="G946" s="24"/>
      <c r="H946" s="24"/>
      <c r="I946" s="24"/>
      <c r="J946" s="24">
        <f t="shared" si="29"/>
        <v>500</v>
      </c>
      <c r="K946" s="24">
        <f t="shared" si="30"/>
        <v>260</v>
      </c>
    </row>
    <row r="947" spans="1:11">
      <c r="A947" s="35"/>
      <c r="B947" s="24">
        <v>5</v>
      </c>
      <c r="C947" s="23" t="s">
        <v>416</v>
      </c>
      <c r="D947" s="23" t="s">
        <v>746</v>
      </c>
      <c r="E947" s="24">
        <v>400</v>
      </c>
      <c r="F947" s="24">
        <v>360</v>
      </c>
      <c r="G947" s="24"/>
      <c r="H947" s="24"/>
      <c r="I947" s="24"/>
      <c r="J947" s="24">
        <f t="shared" si="29"/>
        <v>760</v>
      </c>
      <c r="K947" s="24">
        <f t="shared" si="30"/>
        <v>0</v>
      </c>
    </row>
    <row r="948" spans="1:11">
      <c r="A948" s="35"/>
      <c r="B948" s="24">
        <v>6</v>
      </c>
      <c r="C948" s="23" t="s">
        <v>417</v>
      </c>
      <c r="D948" s="23" t="s">
        <v>746</v>
      </c>
      <c r="E948" s="24">
        <v>250</v>
      </c>
      <c r="F948" s="24"/>
      <c r="G948" s="24"/>
      <c r="H948" s="24"/>
      <c r="I948" s="24"/>
      <c r="J948" s="24">
        <f t="shared" si="29"/>
        <v>250</v>
      </c>
      <c r="K948" s="24">
        <f t="shared" si="30"/>
        <v>510</v>
      </c>
    </row>
    <row r="949" spans="1:11">
      <c r="A949" s="35"/>
      <c r="B949" s="24">
        <v>7</v>
      </c>
      <c r="C949" s="23" t="s">
        <v>418</v>
      </c>
      <c r="D949" s="23" t="s">
        <v>747</v>
      </c>
      <c r="E949" s="24">
        <v>500</v>
      </c>
      <c r="F949" s="24">
        <v>260</v>
      </c>
      <c r="G949" s="24"/>
      <c r="H949" s="24"/>
      <c r="I949" s="24"/>
      <c r="J949" s="24">
        <f t="shared" si="29"/>
        <v>760</v>
      </c>
      <c r="K949" s="24">
        <f t="shared" si="30"/>
        <v>0</v>
      </c>
    </row>
    <row r="950" spans="1:11">
      <c r="A950" s="35"/>
      <c r="B950" s="24">
        <v>8</v>
      </c>
      <c r="C950" s="23" t="s">
        <v>419</v>
      </c>
      <c r="D950" s="23" t="s">
        <v>746</v>
      </c>
      <c r="E950" s="24">
        <v>760</v>
      </c>
      <c r="F950" s="24"/>
      <c r="G950" s="24"/>
      <c r="H950" s="24"/>
      <c r="I950" s="24"/>
      <c r="J950" s="24">
        <f t="shared" si="29"/>
        <v>760</v>
      </c>
      <c r="K950" s="24">
        <f t="shared" si="30"/>
        <v>0</v>
      </c>
    </row>
    <row r="951" spans="1:11">
      <c r="A951" s="35"/>
      <c r="B951" s="24">
        <v>9</v>
      </c>
      <c r="C951" s="23" t="s">
        <v>644</v>
      </c>
      <c r="D951" s="23" t="s">
        <v>747</v>
      </c>
      <c r="E951" s="24">
        <v>500</v>
      </c>
      <c r="F951" s="24"/>
      <c r="G951" s="24"/>
      <c r="H951" s="24"/>
      <c r="I951" s="24"/>
      <c r="J951" s="24">
        <f t="shared" si="29"/>
        <v>500</v>
      </c>
      <c r="K951" s="24">
        <f t="shared" si="30"/>
        <v>260</v>
      </c>
    </row>
    <row r="952" spans="1:11">
      <c r="A952" s="35"/>
      <c r="B952" s="24">
        <v>10</v>
      </c>
      <c r="C952" s="23" t="s">
        <v>420</v>
      </c>
      <c r="D952" s="23" t="s">
        <v>747</v>
      </c>
      <c r="E952" s="24">
        <v>550</v>
      </c>
      <c r="F952" s="24"/>
      <c r="G952" s="24"/>
      <c r="H952" s="24"/>
      <c r="I952" s="24"/>
      <c r="J952" s="24">
        <f t="shared" si="29"/>
        <v>550</v>
      </c>
      <c r="K952" s="24">
        <f t="shared" si="30"/>
        <v>210</v>
      </c>
    </row>
    <row r="953" spans="1:11">
      <c r="A953" s="35"/>
      <c r="B953" s="24">
        <v>11</v>
      </c>
      <c r="C953" s="23" t="s">
        <v>421</v>
      </c>
      <c r="D953" s="23" t="s">
        <v>746</v>
      </c>
      <c r="E953" s="24">
        <v>300</v>
      </c>
      <c r="F953" s="24">
        <v>400</v>
      </c>
      <c r="G953" s="24"/>
      <c r="H953" s="24"/>
      <c r="I953" s="24"/>
      <c r="J953" s="24">
        <f t="shared" si="29"/>
        <v>700</v>
      </c>
      <c r="K953" s="24">
        <f t="shared" si="30"/>
        <v>60</v>
      </c>
    </row>
    <row r="954" spans="1:11">
      <c r="A954" s="35"/>
      <c r="B954" s="24">
        <v>12</v>
      </c>
      <c r="C954" s="23" t="s">
        <v>422</v>
      </c>
      <c r="D954" s="23" t="s">
        <v>747</v>
      </c>
      <c r="E954" s="24"/>
      <c r="F954" s="24"/>
      <c r="G954" s="24"/>
      <c r="H954" s="24"/>
      <c r="I954" s="24"/>
      <c r="J954" s="24" t="str">
        <f t="shared" si="29"/>
        <v/>
      </c>
      <c r="K954" s="24">
        <f t="shared" si="30"/>
        <v>760</v>
      </c>
    </row>
    <row r="955" spans="1:11">
      <c r="A955" s="35"/>
      <c r="B955" s="24">
        <v>13</v>
      </c>
      <c r="C955" s="23" t="s">
        <v>423</v>
      </c>
      <c r="D955" s="23" t="s">
        <v>746</v>
      </c>
      <c r="E955" s="24">
        <v>500</v>
      </c>
      <c r="F955" s="24"/>
      <c r="G955" s="24"/>
      <c r="H955" s="24"/>
      <c r="I955" s="24"/>
      <c r="J955" s="24">
        <f t="shared" si="29"/>
        <v>500</v>
      </c>
      <c r="K955" s="24">
        <f t="shared" si="30"/>
        <v>260</v>
      </c>
    </row>
    <row r="956" spans="1:11">
      <c r="A956" s="35"/>
      <c r="B956" s="24">
        <v>14</v>
      </c>
      <c r="C956" s="23" t="s">
        <v>424</v>
      </c>
      <c r="D956" s="23" t="s">
        <v>746</v>
      </c>
      <c r="E956" s="24">
        <v>500</v>
      </c>
      <c r="F956" s="24">
        <v>260</v>
      </c>
      <c r="G956" s="24"/>
      <c r="H956" s="24"/>
      <c r="I956" s="24"/>
      <c r="J956" s="24">
        <f t="shared" si="29"/>
        <v>760</v>
      </c>
      <c r="K956" s="24">
        <f t="shared" si="30"/>
        <v>0</v>
      </c>
    </row>
    <row r="957" spans="1:11">
      <c r="A957" s="35"/>
      <c r="B957" s="24">
        <v>15</v>
      </c>
      <c r="C957" s="23" t="s">
        <v>425</v>
      </c>
      <c r="D957" s="23" t="s">
        <v>746</v>
      </c>
      <c r="E957" s="24">
        <v>400</v>
      </c>
      <c r="F957" s="24">
        <v>360</v>
      </c>
      <c r="G957" s="24"/>
      <c r="H957" s="24"/>
      <c r="I957" s="24"/>
      <c r="J957" s="24">
        <f t="shared" si="29"/>
        <v>760</v>
      </c>
      <c r="K957" s="24">
        <f t="shared" si="30"/>
        <v>0</v>
      </c>
    </row>
    <row r="958" spans="1:11">
      <c r="A958" s="35"/>
      <c r="B958" s="24">
        <v>16</v>
      </c>
      <c r="C958" s="23" t="s">
        <v>426</v>
      </c>
      <c r="D958" s="23" t="s">
        <v>746</v>
      </c>
      <c r="E958" s="24">
        <v>390</v>
      </c>
      <c r="F958" s="24">
        <v>370</v>
      </c>
      <c r="G958" s="24"/>
      <c r="H958" s="24"/>
      <c r="I958" s="24"/>
      <c r="J958" s="24">
        <f t="shared" si="29"/>
        <v>760</v>
      </c>
      <c r="K958" s="24">
        <f t="shared" si="30"/>
        <v>0</v>
      </c>
    </row>
    <row r="959" spans="1:11">
      <c r="A959" s="35"/>
      <c r="B959" s="24">
        <v>17</v>
      </c>
      <c r="C959" s="23" t="s">
        <v>427</v>
      </c>
      <c r="D959" s="23" t="s">
        <v>746</v>
      </c>
      <c r="E959" s="24">
        <v>300</v>
      </c>
      <c r="F959" s="24"/>
      <c r="G959" s="24"/>
      <c r="H959" s="24"/>
      <c r="I959" s="24"/>
      <c r="J959" s="24">
        <f t="shared" si="29"/>
        <v>300</v>
      </c>
      <c r="K959" s="24">
        <f t="shared" si="30"/>
        <v>460</v>
      </c>
    </row>
    <row r="960" spans="1:11">
      <c r="A960" s="35"/>
      <c r="B960" s="24">
        <v>18</v>
      </c>
      <c r="C960" s="23" t="s">
        <v>428</v>
      </c>
      <c r="D960" s="23" t="s">
        <v>746</v>
      </c>
      <c r="E960" s="24">
        <v>120</v>
      </c>
      <c r="F960" s="24">
        <v>100</v>
      </c>
      <c r="G960" s="24"/>
      <c r="H960" s="24"/>
      <c r="I960" s="24"/>
      <c r="J960" s="24">
        <f t="shared" si="29"/>
        <v>220</v>
      </c>
      <c r="K960" s="24">
        <f t="shared" si="30"/>
        <v>540</v>
      </c>
    </row>
    <row r="961" spans="1:11">
      <c r="A961" s="35"/>
      <c r="B961" s="24">
        <v>19</v>
      </c>
      <c r="C961" s="23" t="s">
        <v>429</v>
      </c>
      <c r="D961" s="23" t="s">
        <v>747</v>
      </c>
      <c r="E961" s="24"/>
      <c r="F961" s="24"/>
      <c r="G961" s="24"/>
      <c r="H961" s="24"/>
      <c r="I961" s="24"/>
      <c r="J961" s="24" t="str">
        <f t="shared" si="29"/>
        <v/>
      </c>
      <c r="K961" s="24">
        <f t="shared" si="30"/>
        <v>760</v>
      </c>
    </row>
    <row r="962" spans="1:11">
      <c r="A962" s="35"/>
      <c r="B962" s="24">
        <v>20</v>
      </c>
      <c r="C962" s="23" t="s">
        <v>351</v>
      </c>
      <c r="D962" s="23" t="s">
        <v>746</v>
      </c>
      <c r="E962" s="24">
        <v>500</v>
      </c>
      <c r="F962" s="24"/>
      <c r="G962" s="24"/>
      <c r="H962" s="24"/>
      <c r="I962" s="24"/>
      <c r="J962" s="24">
        <f t="shared" si="29"/>
        <v>500</v>
      </c>
      <c r="K962" s="24">
        <f t="shared" si="30"/>
        <v>260</v>
      </c>
    </row>
    <row r="963" spans="1:11">
      <c r="A963" s="35"/>
      <c r="B963" s="24">
        <v>21</v>
      </c>
      <c r="C963" s="23" t="s">
        <v>630</v>
      </c>
      <c r="D963" s="23" t="s">
        <v>747</v>
      </c>
      <c r="E963" s="24">
        <v>400</v>
      </c>
      <c r="F963" s="24"/>
      <c r="G963" s="24"/>
      <c r="H963" s="24"/>
      <c r="I963" s="24"/>
      <c r="J963" s="24">
        <f t="shared" si="29"/>
        <v>400</v>
      </c>
      <c r="K963" s="24">
        <f t="shared" si="30"/>
        <v>360</v>
      </c>
    </row>
    <row r="964" spans="1:11">
      <c r="A964" s="35"/>
      <c r="B964" s="24">
        <v>22</v>
      </c>
      <c r="C964" s="23" t="s">
        <v>430</v>
      </c>
      <c r="D964" s="23" t="s">
        <v>747</v>
      </c>
      <c r="E964" s="24">
        <v>400</v>
      </c>
      <c r="F964" s="24"/>
      <c r="G964" s="24"/>
      <c r="H964" s="24"/>
      <c r="I964" s="24"/>
      <c r="J964" s="24">
        <f t="shared" si="29"/>
        <v>400</v>
      </c>
      <c r="K964" s="24">
        <f t="shared" si="30"/>
        <v>360</v>
      </c>
    </row>
    <row r="965" spans="1:11">
      <c r="A965" s="35"/>
      <c r="B965" s="24">
        <v>23</v>
      </c>
      <c r="C965" s="23" t="s">
        <v>431</v>
      </c>
      <c r="D965" s="23" t="s">
        <v>746</v>
      </c>
      <c r="E965" s="24">
        <v>300</v>
      </c>
      <c r="F965" s="24"/>
      <c r="G965" s="24"/>
      <c r="H965" s="24"/>
      <c r="I965" s="24"/>
      <c r="J965" s="24">
        <f t="shared" si="29"/>
        <v>300</v>
      </c>
      <c r="K965" s="24">
        <f t="shared" si="30"/>
        <v>460</v>
      </c>
    </row>
    <row r="966" spans="1:11">
      <c r="A966" s="35"/>
      <c r="B966" s="24">
        <v>24</v>
      </c>
      <c r="C966" s="23" t="s">
        <v>645</v>
      </c>
      <c r="D966" s="23" t="s">
        <v>746</v>
      </c>
      <c r="E966" s="24">
        <v>300</v>
      </c>
      <c r="F966" s="24"/>
      <c r="G966" s="24"/>
      <c r="H966" s="24"/>
      <c r="I966" s="24"/>
      <c r="J966" s="24">
        <f t="shared" si="29"/>
        <v>300</v>
      </c>
      <c r="K966" s="24">
        <f t="shared" si="30"/>
        <v>460</v>
      </c>
    </row>
    <row r="967" spans="1:11">
      <c r="A967" s="35"/>
      <c r="B967" s="24">
        <v>25</v>
      </c>
      <c r="C967" s="23" t="s">
        <v>432</v>
      </c>
      <c r="D967" s="23" t="s">
        <v>747</v>
      </c>
      <c r="E967" s="24"/>
      <c r="F967" s="24"/>
      <c r="G967" s="24"/>
      <c r="H967" s="24"/>
      <c r="I967" s="24"/>
      <c r="J967" s="24" t="str">
        <f t="shared" si="29"/>
        <v/>
      </c>
      <c r="K967" s="24">
        <f t="shared" si="30"/>
        <v>760</v>
      </c>
    </row>
    <row r="968" spans="1:11">
      <c r="A968" s="35"/>
      <c r="B968" s="24">
        <v>26</v>
      </c>
      <c r="C968" s="23" t="s">
        <v>433</v>
      </c>
      <c r="D968" s="23" t="s">
        <v>747</v>
      </c>
      <c r="E968" s="24">
        <v>500</v>
      </c>
      <c r="F968" s="24"/>
      <c r="G968" s="24"/>
      <c r="H968" s="24"/>
      <c r="I968" s="24"/>
      <c r="J968" s="24">
        <f t="shared" si="29"/>
        <v>500</v>
      </c>
      <c r="K968" s="24">
        <f t="shared" si="30"/>
        <v>260</v>
      </c>
    </row>
    <row r="969" spans="1:11">
      <c r="A969" s="35"/>
      <c r="B969" s="24">
        <v>27</v>
      </c>
      <c r="C969" s="23" t="s">
        <v>434</v>
      </c>
      <c r="D969" s="23" t="s">
        <v>746</v>
      </c>
      <c r="E969" s="24">
        <v>760</v>
      </c>
      <c r="F969" s="24"/>
      <c r="G969" s="24"/>
      <c r="H969" s="24"/>
      <c r="I969" s="24"/>
      <c r="J969" s="24">
        <f t="shared" si="29"/>
        <v>760</v>
      </c>
      <c r="K969" s="24">
        <f t="shared" si="30"/>
        <v>0</v>
      </c>
    </row>
    <row r="970" spans="1:11">
      <c r="A970" s="35"/>
      <c r="B970" s="24">
        <v>28</v>
      </c>
      <c r="C970" s="23" t="s">
        <v>435</v>
      </c>
      <c r="D970" s="23" t="s">
        <v>747</v>
      </c>
      <c r="E970" s="24">
        <v>300</v>
      </c>
      <c r="F970" s="24"/>
      <c r="G970" s="24"/>
      <c r="H970" s="24"/>
      <c r="I970" s="24"/>
      <c r="J970" s="24">
        <f t="shared" si="29"/>
        <v>300</v>
      </c>
      <c r="K970" s="24">
        <f t="shared" si="30"/>
        <v>460</v>
      </c>
    </row>
    <row r="971" spans="1:11">
      <c r="A971" s="35"/>
      <c r="B971" s="24">
        <v>29</v>
      </c>
      <c r="C971" s="23" t="s">
        <v>436</v>
      </c>
      <c r="D971" s="23" t="s">
        <v>747</v>
      </c>
      <c r="E971" s="24">
        <v>200</v>
      </c>
      <c r="F971" s="24">
        <v>200</v>
      </c>
      <c r="G971" s="24"/>
      <c r="H971" s="24"/>
      <c r="I971" s="24"/>
      <c r="J971" s="24">
        <f t="shared" si="29"/>
        <v>400</v>
      </c>
      <c r="K971" s="24">
        <f t="shared" si="30"/>
        <v>360</v>
      </c>
    </row>
    <row r="972" spans="1:11">
      <c r="A972" s="35"/>
      <c r="B972" s="24">
        <v>30</v>
      </c>
      <c r="C972" s="23" t="s">
        <v>370</v>
      </c>
      <c r="D972" s="23" t="s">
        <v>747</v>
      </c>
      <c r="E972" s="24">
        <v>500</v>
      </c>
      <c r="F972" s="24"/>
      <c r="G972" s="24"/>
      <c r="H972" s="24"/>
      <c r="I972" s="24"/>
      <c r="J972" s="24">
        <f t="shared" si="29"/>
        <v>500</v>
      </c>
      <c r="K972" s="24">
        <f t="shared" si="30"/>
        <v>260</v>
      </c>
    </row>
    <row r="973" spans="1:11">
      <c r="A973" s="35"/>
      <c r="B973" s="24">
        <v>31</v>
      </c>
      <c r="C973" s="23" t="s">
        <v>437</v>
      </c>
      <c r="D973" s="23" t="s">
        <v>747</v>
      </c>
      <c r="E973" s="24">
        <v>600</v>
      </c>
      <c r="F973" s="24"/>
      <c r="G973" s="24"/>
      <c r="H973" s="24"/>
      <c r="I973" s="24"/>
      <c r="J973" s="24">
        <f t="shared" si="29"/>
        <v>600</v>
      </c>
      <c r="K973" s="24">
        <f t="shared" si="30"/>
        <v>160</v>
      </c>
    </row>
    <row r="974" spans="1:11">
      <c r="A974" s="35"/>
      <c r="B974" s="24">
        <v>32</v>
      </c>
      <c r="C974" s="23" t="s">
        <v>706</v>
      </c>
      <c r="D974" s="23" t="s">
        <v>746</v>
      </c>
      <c r="E974" s="24">
        <v>500</v>
      </c>
      <c r="F974" s="24"/>
      <c r="G974" s="24"/>
      <c r="H974" s="24"/>
      <c r="I974" s="24"/>
      <c r="J974" s="24">
        <f t="shared" si="29"/>
        <v>500</v>
      </c>
      <c r="K974" s="24">
        <f t="shared" si="30"/>
        <v>260</v>
      </c>
    </row>
    <row r="975" spans="1:11">
      <c r="A975" s="35"/>
      <c r="B975" s="24">
        <v>33</v>
      </c>
      <c r="C975" s="23" t="s">
        <v>438</v>
      </c>
      <c r="D975" s="23" t="s">
        <v>746</v>
      </c>
      <c r="E975" s="24">
        <v>400</v>
      </c>
      <c r="F975" s="24"/>
      <c r="G975" s="24"/>
      <c r="H975" s="24"/>
      <c r="I975" s="24"/>
      <c r="J975" s="24">
        <f t="shared" si="29"/>
        <v>400</v>
      </c>
      <c r="K975" s="24">
        <f t="shared" si="30"/>
        <v>360</v>
      </c>
    </row>
    <row r="976" spans="1:11">
      <c r="A976" s="35"/>
      <c r="B976" s="24">
        <v>34</v>
      </c>
      <c r="C976" s="23" t="s">
        <v>439</v>
      </c>
      <c r="D976" s="23" t="s">
        <v>747</v>
      </c>
      <c r="E976" s="24">
        <v>400</v>
      </c>
      <c r="F976" s="24"/>
      <c r="G976" s="24"/>
      <c r="H976" s="24"/>
      <c r="I976" s="24"/>
      <c r="J976" s="24">
        <f t="shared" si="29"/>
        <v>400</v>
      </c>
      <c r="K976" s="24">
        <f t="shared" si="30"/>
        <v>360</v>
      </c>
    </row>
    <row r="977" spans="1:11">
      <c r="A977" s="35"/>
      <c r="B977" s="24">
        <v>35</v>
      </c>
      <c r="C977" s="23" t="s">
        <v>440</v>
      </c>
      <c r="D977" s="23" t="s">
        <v>746</v>
      </c>
      <c r="E977" s="24">
        <v>500</v>
      </c>
      <c r="F977" s="24"/>
      <c r="G977" s="24"/>
      <c r="H977" s="24"/>
      <c r="I977" s="24"/>
      <c r="J977" s="24">
        <f t="shared" si="29"/>
        <v>500</v>
      </c>
      <c r="K977" s="24">
        <f t="shared" si="30"/>
        <v>260</v>
      </c>
    </row>
    <row r="978" spans="1:11">
      <c r="A978" s="35"/>
      <c r="B978" s="24">
        <v>36</v>
      </c>
      <c r="C978" s="23" t="s">
        <v>441</v>
      </c>
      <c r="D978" s="23" t="s">
        <v>747</v>
      </c>
      <c r="E978" s="24">
        <v>760</v>
      </c>
      <c r="F978" s="24"/>
      <c r="G978" s="24"/>
      <c r="H978" s="24"/>
      <c r="I978" s="24"/>
      <c r="J978" s="24">
        <f t="shared" si="29"/>
        <v>760</v>
      </c>
      <c r="K978" s="24">
        <f t="shared" si="30"/>
        <v>0</v>
      </c>
    </row>
    <row r="979" spans="1:11">
      <c r="A979" s="35"/>
      <c r="B979" s="24">
        <v>37</v>
      </c>
      <c r="C979" s="23" t="s">
        <v>442</v>
      </c>
      <c r="D979" s="23" t="s">
        <v>747</v>
      </c>
      <c r="E979" s="24">
        <v>180</v>
      </c>
      <c r="F979" s="24">
        <v>150</v>
      </c>
      <c r="G979" s="24"/>
      <c r="H979" s="24"/>
      <c r="I979" s="24"/>
      <c r="J979" s="24">
        <f t="shared" si="29"/>
        <v>330</v>
      </c>
      <c r="K979" s="24">
        <f t="shared" si="30"/>
        <v>430</v>
      </c>
    </row>
    <row r="980" spans="1:11">
      <c r="A980" s="35"/>
      <c r="B980" s="24">
        <v>38</v>
      </c>
      <c r="C980" s="23"/>
      <c r="D980" s="23"/>
      <c r="E980" s="24"/>
      <c r="F980" s="24"/>
      <c r="G980" s="24"/>
      <c r="H980" s="24"/>
      <c r="I980" s="24"/>
      <c r="J980" s="24" t="str">
        <f t="shared" si="29"/>
        <v/>
      </c>
      <c r="K980" s="24">
        <f t="shared" si="30"/>
        <v>760</v>
      </c>
    </row>
    <row r="981" spans="1:11">
      <c r="A981" s="35"/>
      <c r="B981" s="24">
        <v>39</v>
      </c>
      <c r="C981" s="23"/>
      <c r="D981" s="23"/>
      <c r="E981" s="24"/>
      <c r="F981" s="24"/>
      <c r="G981" s="24"/>
      <c r="H981" s="24"/>
      <c r="I981" s="24"/>
      <c r="J981" s="24" t="str">
        <f t="shared" si="29"/>
        <v/>
      </c>
      <c r="K981" s="24">
        <f t="shared" si="30"/>
        <v>760</v>
      </c>
    </row>
    <row r="982" spans="1:11">
      <c r="A982" s="35"/>
      <c r="B982" s="24">
        <v>40</v>
      </c>
      <c r="C982" s="23"/>
      <c r="D982" s="23"/>
      <c r="E982" s="24"/>
      <c r="F982" s="24"/>
      <c r="G982" s="24"/>
      <c r="H982" s="24"/>
      <c r="I982" s="24"/>
      <c r="J982" s="24" t="str">
        <f t="shared" si="29"/>
        <v/>
      </c>
      <c r="K982" s="24">
        <f t="shared" si="30"/>
        <v>760</v>
      </c>
    </row>
    <row r="983" spans="1:11">
      <c r="A983" s="35"/>
      <c r="B983" s="24">
        <v>41</v>
      </c>
      <c r="C983" s="23"/>
      <c r="D983" s="23"/>
      <c r="E983" s="24"/>
      <c r="F983" s="24"/>
      <c r="G983" s="24"/>
      <c r="H983" s="24"/>
      <c r="I983" s="24"/>
      <c r="J983" s="24" t="str">
        <f t="shared" si="29"/>
        <v/>
      </c>
      <c r="K983" s="24">
        <f t="shared" si="30"/>
        <v>760</v>
      </c>
    </row>
    <row r="984" spans="1:11">
      <c r="A984" s="35"/>
      <c r="B984" s="24">
        <v>42</v>
      </c>
      <c r="C984" s="23"/>
      <c r="D984" s="23"/>
      <c r="E984" s="24"/>
      <c r="F984" s="24"/>
      <c r="G984" s="24"/>
      <c r="H984" s="24"/>
      <c r="I984" s="24"/>
      <c r="J984" s="24" t="str">
        <f t="shared" si="29"/>
        <v/>
      </c>
      <c r="K984" s="24">
        <f t="shared" si="30"/>
        <v>760</v>
      </c>
    </row>
    <row r="985" spans="1:11">
      <c r="A985" s="35"/>
      <c r="B985" s="24">
        <v>43</v>
      </c>
      <c r="C985" s="23"/>
      <c r="D985" s="23"/>
      <c r="E985" s="24"/>
      <c r="F985" s="24"/>
      <c r="G985" s="24"/>
      <c r="H985" s="24"/>
      <c r="I985" s="24"/>
      <c r="J985" s="24" t="str">
        <f t="shared" si="29"/>
        <v/>
      </c>
      <c r="K985" s="24">
        <f t="shared" si="30"/>
        <v>760</v>
      </c>
    </row>
    <row r="986" spans="1:11">
      <c r="A986" s="35"/>
      <c r="B986" s="24">
        <v>44</v>
      </c>
      <c r="C986" s="23"/>
      <c r="D986" s="23"/>
      <c r="E986" s="24"/>
      <c r="F986" s="24"/>
      <c r="G986" s="24"/>
      <c r="H986" s="24"/>
      <c r="I986" s="24"/>
      <c r="J986" s="24" t="str">
        <f t="shared" si="29"/>
        <v/>
      </c>
      <c r="K986" s="24">
        <f t="shared" si="30"/>
        <v>760</v>
      </c>
    </row>
    <row r="987" spans="1:11">
      <c r="A987" s="35"/>
      <c r="B987" s="24">
        <v>45</v>
      </c>
      <c r="C987" s="23"/>
      <c r="D987" s="23"/>
      <c r="E987" s="24"/>
      <c r="F987" s="24"/>
      <c r="G987" s="24"/>
      <c r="H987" s="24"/>
      <c r="I987" s="24"/>
      <c r="J987" s="24" t="str">
        <f t="shared" si="29"/>
        <v/>
      </c>
      <c r="K987" s="24">
        <f t="shared" si="30"/>
        <v>760</v>
      </c>
    </row>
    <row r="988" spans="1:11">
      <c r="A988" s="35"/>
      <c r="B988" s="24">
        <v>46</v>
      </c>
      <c r="C988" s="23"/>
      <c r="D988" s="23"/>
      <c r="E988" s="24"/>
      <c r="F988" s="24"/>
      <c r="G988" s="24"/>
      <c r="H988" s="24"/>
      <c r="I988" s="24"/>
      <c r="J988" s="24" t="str">
        <f t="shared" si="29"/>
        <v/>
      </c>
      <c r="K988" s="24">
        <f t="shared" si="30"/>
        <v>760</v>
      </c>
    </row>
    <row r="989" spans="1:11">
      <c r="A989" s="35"/>
      <c r="B989" s="24">
        <v>47</v>
      </c>
      <c r="C989" s="23"/>
      <c r="D989" s="23"/>
      <c r="E989" s="24"/>
      <c r="F989" s="24"/>
      <c r="G989" s="24"/>
      <c r="H989" s="24"/>
      <c r="I989" s="24"/>
      <c r="J989" s="24" t="str">
        <f t="shared" si="29"/>
        <v/>
      </c>
      <c r="K989" s="24">
        <f t="shared" si="30"/>
        <v>760</v>
      </c>
    </row>
    <row r="990" spans="1:11">
      <c r="A990" s="35"/>
      <c r="B990" s="24">
        <v>48</v>
      </c>
      <c r="C990" s="23"/>
      <c r="D990" s="23"/>
      <c r="E990" s="24"/>
      <c r="F990" s="24"/>
      <c r="G990" s="24"/>
      <c r="H990" s="24"/>
      <c r="I990" s="24"/>
      <c r="J990" s="24" t="str">
        <f t="shared" si="29"/>
        <v/>
      </c>
      <c r="K990" s="24">
        <f t="shared" si="30"/>
        <v>760</v>
      </c>
    </row>
    <row r="991" spans="1:11">
      <c r="A991" s="35"/>
      <c r="B991" s="24">
        <v>49</v>
      </c>
      <c r="C991" s="23"/>
      <c r="D991" s="23"/>
      <c r="E991" s="24"/>
      <c r="F991" s="24"/>
      <c r="G991" s="24"/>
      <c r="H991" s="24"/>
      <c r="I991" s="24"/>
      <c r="J991" s="24" t="str">
        <f t="shared" si="29"/>
        <v/>
      </c>
      <c r="K991" s="24">
        <f t="shared" si="30"/>
        <v>760</v>
      </c>
    </row>
    <row r="992" spans="1:11">
      <c r="A992" s="35"/>
      <c r="B992" s="24">
        <v>50</v>
      </c>
      <c r="C992" s="23"/>
      <c r="D992" s="23"/>
      <c r="E992" s="24"/>
      <c r="F992" s="24"/>
      <c r="G992" s="24"/>
      <c r="H992" s="24"/>
      <c r="I992" s="24"/>
      <c r="J992" s="24" t="str">
        <f t="shared" si="29"/>
        <v/>
      </c>
      <c r="K992" s="24">
        <f t="shared" si="30"/>
        <v>760</v>
      </c>
    </row>
    <row r="993" spans="1:11">
      <c r="A993" s="35"/>
      <c r="B993" s="24">
        <v>51</v>
      </c>
      <c r="C993" s="23"/>
      <c r="D993" s="23"/>
      <c r="E993" s="24"/>
      <c r="F993" s="24"/>
      <c r="G993" s="24"/>
      <c r="H993" s="24"/>
      <c r="I993" s="24"/>
      <c r="J993" s="24" t="str">
        <f t="shared" si="29"/>
        <v/>
      </c>
      <c r="K993" s="24">
        <f t="shared" si="30"/>
        <v>760</v>
      </c>
    </row>
    <row r="994" spans="1:11">
      <c r="A994" s="35"/>
      <c r="B994" s="24">
        <v>52</v>
      </c>
      <c r="C994" s="23"/>
      <c r="D994" s="23"/>
      <c r="E994" s="24"/>
      <c r="F994" s="24"/>
      <c r="G994" s="24"/>
      <c r="H994" s="24"/>
      <c r="I994" s="24"/>
      <c r="J994" s="24" t="str">
        <f t="shared" si="29"/>
        <v/>
      </c>
      <c r="K994" s="24">
        <f t="shared" si="30"/>
        <v>760</v>
      </c>
    </row>
    <row r="995" spans="1:11">
      <c r="A995" s="35"/>
      <c r="B995" s="24">
        <v>53</v>
      </c>
      <c r="C995" s="23"/>
      <c r="D995" s="23"/>
      <c r="E995" s="24"/>
      <c r="F995" s="24"/>
      <c r="G995" s="24"/>
      <c r="H995" s="24"/>
      <c r="I995" s="24"/>
      <c r="J995" s="24" t="str">
        <f t="shared" si="29"/>
        <v/>
      </c>
      <c r="K995" s="24">
        <f t="shared" si="30"/>
        <v>760</v>
      </c>
    </row>
    <row r="996" spans="1:11">
      <c r="A996" s="35"/>
      <c r="B996" s="24">
        <v>54</v>
      </c>
      <c r="C996" s="23"/>
      <c r="D996" s="23"/>
      <c r="E996" s="24"/>
      <c r="F996" s="24"/>
      <c r="G996" s="24"/>
      <c r="H996" s="24"/>
      <c r="I996" s="24"/>
      <c r="J996" s="24" t="str">
        <f t="shared" si="29"/>
        <v/>
      </c>
      <c r="K996" s="24">
        <f t="shared" si="30"/>
        <v>760</v>
      </c>
    </row>
    <row r="997" spans="1:11">
      <c r="A997" s="35"/>
      <c r="B997" s="24">
        <v>55</v>
      </c>
      <c r="C997" s="23"/>
      <c r="D997" s="23"/>
      <c r="E997" s="24"/>
      <c r="F997" s="24"/>
      <c r="G997" s="24"/>
      <c r="H997" s="24"/>
      <c r="I997" s="24"/>
      <c r="J997" s="24" t="str">
        <f t="shared" si="29"/>
        <v/>
      </c>
      <c r="K997" s="24">
        <f t="shared" si="30"/>
        <v>760</v>
      </c>
    </row>
    <row r="998" spans="1:11">
      <c r="A998" s="35"/>
      <c r="B998" s="24">
        <v>56</v>
      </c>
      <c r="C998" s="23"/>
      <c r="D998" s="23"/>
      <c r="E998" s="24"/>
      <c r="F998" s="24"/>
      <c r="G998" s="24"/>
      <c r="H998" s="24"/>
      <c r="I998" s="24"/>
      <c r="J998" s="24" t="str">
        <f t="shared" si="29"/>
        <v/>
      </c>
      <c r="K998" s="24">
        <f t="shared" si="30"/>
        <v>760</v>
      </c>
    </row>
    <row r="999" spans="1:11">
      <c r="A999" s="35"/>
      <c r="B999" s="24">
        <v>57</v>
      </c>
      <c r="C999" s="23"/>
      <c r="D999" s="23"/>
      <c r="E999" s="24"/>
      <c r="F999" s="24"/>
      <c r="G999" s="24"/>
      <c r="H999" s="24"/>
      <c r="I999" s="24"/>
      <c r="J999" s="24" t="str">
        <f t="shared" si="29"/>
        <v/>
      </c>
      <c r="K999" s="24">
        <f t="shared" si="30"/>
        <v>760</v>
      </c>
    </row>
    <row r="1000" spans="1:11">
      <c r="A1000" s="35"/>
      <c r="B1000" s="24">
        <v>58</v>
      </c>
      <c r="C1000" s="23"/>
      <c r="D1000" s="23"/>
      <c r="E1000" s="24"/>
      <c r="F1000" s="24"/>
      <c r="G1000" s="24"/>
      <c r="H1000" s="24"/>
      <c r="I1000" s="24"/>
      <c r="J1000" s="24" t="str">
        <f t="shared" si="29"/>
        <v/>
      </c>
      <c r="K1000" s="24">
        <f t="shared" si="30"/>
        <v>760</v>
      </c>
    </row>
    <row r="1001" spans="1:11">
      <c r="A1001" s="35"/>
      <c r="B1001" s="24">
        <v>59</v>
      </c>
      <c r="C1001" s="23"/>
      <c r="D1001" s="23"/>
      <c r="E1001" s="24"/>
      <c r="F1001" s="24"/>
      <c r="G1001" s="24"/>
      <c r="H1001" s="24"/>
      <c r="I1001" s="24"/>
      <c r="J1001" s="24" t="str">
        <f t="shared" si="29"/>
        <v/>
      </c>
      <c r="K1001" s="24">
        <f t="shared" si="30"/>
        <v>760</v>
      </c>
    </row>
    <row r="1002" spans="1:11">
      <c r="A1002" s="35"/>
      <c r="B1002" s="24">
        <v>60</v>
      </c>
      <c r="C1002" s="23"/>
      <c r="D1002" s="23"/>
      <c r="E1002" s="24"/>
      <c r="F1002" s="24"/>
      <c r="G1002" s="24"/>
      <c r="H1002" s="24"/>
      <c r="I1002" s="24"/>
      <c r="J1002" s="24" t="str">
        <f t="shared" si="29"/>
        <v/>
      </c>
      <c r="K1002" s="24">
        <f t="shared" si="30"/>
        <v>760</v>
      </c>
    </row>
    <row r="1003" spans="1:11">
      <c r="A1003" s="35"/>
      <c r="B1003" s="34"/>
      <c r="C1003" s="34"/>
      <c r="D1003" s="34"/>
      <c r="E1003" s="34"/>
      <c r="F1003" s="34"/>
      <c r="G1003" s="34"/>
      <c r="H1003" s="34"/>
      <c r="I1003" s="33" t="s">
        <v>31</v>
      </c>
      <c r="J1003" s="33"/>
      <c r="K1003" s="24">
        <f>SUM(K943:K1002)</f>
        <v>28210</v>
      </c>
    </row>
    <row r="1004" spans="1:11">
      <c r="I1004" s="27"/>
      <c r="J1004" s="27"/>
      <c r="K1004" s="24"/>
    </row>
    <row r="1005" spans="1:11">
      <c r="I1005" s="27"/>
      <c r="J1005" s="27"/>
      <c r="K1005" s="24"/>
    </row>
    <row r="1007" spans="1:11">
      <c r="A1007" s="23">
        <v>16</v>
      </c>
      <c r="B1007" s="23" t="s">
        <v>0</v>
      </c>
      <c r="C1007" s="28" t="str">
        <f>IF('Navigation and Summary'!$B$24="", "", 'Navigation and Summary'!$B$24)</f>
        <v>BASIC 6A</v>
      </c>
      <c r="D1007" s="28"/>
      <c r="E1007" s="23" t="s">
        <v>37</v>
      </c>
      <c r="F1007" s="24">
        <f>IF('Navigation and Summary'!$C$24="", "", 'Navigation and Summary'!$C$24)</f>
        <v>760</v>
      </c>
      <c r="G1007" s="23" t="s">
        <v>34</v>
      </c>
      <c r="H1007" s="24" t="str">
        <f>IF(C1007="", "", 'Navigation and Summary'!$G$6)</f>
        <v>2025-26</v>
      </c>
    </row>
    <row r="1008" spans="1:11">
      <c r="A1008" s="35"/>
      <c r="B1008" s="35" t="s">
        <v>32</v>
      </c>
      <c r="C1008" s="35"/>
      <c r="D1008" s="35"/>
      <c r="E1008" s="35"/>
      <c r="F1008" s="35"/>
      <c r="G1008" s="35"/>
      <c r="H1008" s="35"/>
      <c r="I1008" s="23"/>
      <c r="J1008" s="23"/>
      <c r="K1008" s="23"/>
    </row>
    <row r="1009" spans="1:11" ht="28.5">
      <c r="A1009" s="35"/>
      <c r="B1009" s="25" t="s">
        <v>1</v>
      </c>
      <c r="C1009" s="25" t="s">
        <v>2</v>
      </c>
      <c r="D1009" s="25" t="s">
        <v>745</v>
      </c>
      <c r="E1009" s="25" t="s">
        <v>3</v>
      </c>
      <c r="F1009" s="25" t="s">
        <v>4</v>
      </c>
      <c r="G1009" s="25" t="s">
        <v>5</v>
      </c>
      <c r="H1009" s="25" t="s">
        <v>6</v>
      </c>
      <c r="I1009" s="25" t="s">
        <v>7</v>
      </c>
      <c r="J1009" s="25" t="s">
        <v>8</v>
      </c>
      <c r="K1009" s="25" t="s">
        <v>9</v>
      </c>
    </row>
    <row r="1010" spans="1:11">
      <c r="A1010" s="35"/>
      <c r="B1010" s="24">
        <v>1</v>
      </c>
      <c r="C1010" s="23" t="s">
        <v>613</v>
      </c>
      <c r="D1010" s="23" t="s">
        <v>746</v>
      </c>
      <c r="E1010" s="24">
        <v>760</v>
      </c>
      <c r="G1010" s="24"/>
      <c r="H1010" s="24"/>
      <c r="I1010" s="24"/>
      <c r="J1010" s="24">
        <f>IF(SUM(E1010:I1010)=0, "", SUM(E1010:I1010))</f>
        <v>760</v>
      </c>
      <c r="K1010" s="24">
        <f xml:space="preserve"> IFERROR(IF(($F$1007-J1010)=0, 0, ($F$1007-J1010)),$F$1007)</f>
        <v>0</v>
      </c>
    </row>
    <row r="1011" spans="1:11">
      <c r="A1011" s="35"/>
      <c r="B1011" s="24">
        <v>2</v>
      </c>
      <c r="C1011" s="23" t="s">
        <v>622</v>
      </c>
      <c r="D1011" s="23" t="s">
        <v>747</v>
      </c>
      <c r="E1011" s="24">
        <v>760</v>
      </c>
      <c r="G1011" s="24"/>
      <c r="H1011" s="24"/>
      <c r="I1011" s="24"/>
      <c r="J1011" s="24">
        <f t="shared" ref="J1011:J1069" si="31">IF(SUM(E1011:I1011)=0, "", SUM(E1011:I1011))</f>
        <v>760</v>
      </c>
      <c r="K1011" s="24">
        <f t="shared" ref="K1011:K1069" si="32" xml:space="preserve"> IFERROR(IF(($F$1007-J1011)=0, 0, ($F$1007-J1011)),$F$1007)</f>
        <v>0</v>
      </c>
    </row>
    <row r="1012" spans="1:11">
      <c r="A1012" s="35"/>
      <c r="B1012" s="24">
        <v>3</v>
      </c>
      <c r="C1012" s="23" t="s">
        <v>443</v>
      </c>
      <c r="D1012" s="23" t="s">
        <v>746</v>
      </c>
      <c r="E1012" s="24">
        <v>200</v>
      </c>
      <c r="F1012" s="24">
        <v>200</v>
      </c>
      <c r="G1012" s="24"/>
      <c r="H1012" s="24"/>
      <c r="I1012" s="24"/>
      <c r="J1012" s="24">
        <f t="shared" si="31"/>
        <v>400</v>
      </c>
      <c r="K1012" s="24">
        <f t="shared" si="32"/>
        <v>360</v>
      </c>
    </row>
    <row r="1013" spans="1:11">
      <c r="A1013" s="35"/>
      <c r="B1013" s="24">
        <v>4</v>
      </c>
      <c r="C1013" s="23" t="s">
        <v>648</v>
      </c>
      <c r="D1013" s="23" t="s">
        <v>746</v>
      </c>
      <c r="E1013" s="24">
        <v>500</v>
      </c>
      <c r="F1013" s="24"/>
      <c r="G1013" s="24"/>
      <c r="H1013" s="24"/>
      <c r="I1013" s="24"/>
      <c r="J1013" s="24">
        <f t="shared" si="31"/>
        <v>500</v>
      </c>
      <c r="K1013" s="24">
        <f t="shared" si="32"/>
        <v>260</v>
      </c>
    </row>
    <row r="1014" spans="1:11">
      <c r="A1014" s="35"/>
      <c r="B1014" s="24">
        <v>5</v>
      </c>
      <c r="C1014" s="23" t="s">
        <v>444</v>
      </c>
      <c r="D1014" s="23" t="s">
        <v>747</v>
      </c>
      <c r="E1014" s="24"/>
      <c r="F1014" s="24"/>
      <c r="G1014" s="24"/>
      <c r="H1014" s="24"/>
      <c r="I1014" s="24"/>
      <c r="J1014" s="24" t="str">
        <f t="shared" si="31"/>
        <v/>
      </c>
      <c r="K1014" s="24">
        <f t="shared" si="32"/>
        <v>760</v>
      </c>
    </row>
    <row r="1015" spans="1:11">
      <c r="A1015" s="35"/>
      <c r="B1015" s="24">
        <v>6</v>
      </c>
      <c r="C1015" s="23" t="s">
        <v>620</v>
      </c>
      <c r="D1015" s="23" t="s">
        <v>746</v>
      </c>
      <c r="E1015" s="24">
        <v>200</v>
      </c>
      <c r="F1015" s="24"/>
      <c r="G1015" s="24"/>
      <c r="H1015" s="24"/>
      <c r="I1015" s="24"/>
      <c r="J1015" s="24">
        <f t="shared" si="31"/>
        <v>200</v>
      </c>
      <c r="K1015" s="24">
        <f t="shared" si="32"/>
        <v>560</v>
      </c>
    </row>
    <row r="1016" spans="1:11">
      <c r="A1016" s="35"/>
      <c r="B1016" s="24">
        <v>7</v>
      </c>
      <c r="C1016" s="23" t="s">
        <v>445</v>
      </c>
      <c r="D1016" s="23" t="s">
        <v>746</v>
      </c>
      <c r="E1016" s="24">
        <v>760</v>
      </c>
      <c r="F1016" s="24"/>
      <c r="G1016" s="24"/>
      <c r="H1016" s="24"/>
      <c r="I1016" s="24"/>
      <c r="J1016" s="24">
        <f t="shared" si="31"/>
        <v>760</v>
      </c>
      <c r="K1016" s="24">
        <f t="shared" si="32"/>
        <v>0</v>
      </c>
    </row>
    <row r="1017" spans="1:11">
      <c r="A1017" s="35"/>
      <c r="B1017" s="24">
        <v>8</v>
      </c>
      <c r="C1017" s="23" t="s">
        <v>446</v>
      </c>
      <c r="D1017" s="23" t="s">
        <v>747</v>
      </c>
      <c r="E1017" s="24">
        <v>200</v>
      </c>
      <c r="F1017" s="24"/>
      <c r="G1017" s="24"/>
      <c r="H1017" s="24"/>
      <c r="I1017" s="24"/>
      <c r="J1017" s="24">
        <f t="shared" si="31"/>
        <v>200</v>
      </c>
      <c r="K1017" s="24">
        <f t="shared" si="32"/>
        <v>560</v>
      </c>
    </row>
    <row r="1018" spans="1:11">
      <c r="A1018" s="35"/>
      <c r="B1018" s="24">
        <v>9</v>
      </c>
      <c r="C1018" s="23" t="s">
        <v>447</v>
      </c>
      <c r="D1018" s="23" t="s">
        <v>747</v>
      </c>
      <c r="E1018" s="24">
        <v>760</v>
      </c>
      <c r="F1018" s="24"/>
      <c r="G1018" s="24"/>
      <c r="H1018" s="24"/>
      <c r="I1018" s="24"/>
      <c r="J1018" s="24">
        <f t="shared" si="31"/>
        <v>760</v>
      </c>
      <c r="K1018" s="24">
        <f t="shared" si="32"/>
        <v>0</v>
      </c>
    </row>
    <row r="1019" spans="1:11">
      <c r="A1019" s="35"/>
      <c r="B1019" s="24">
        <v>10</v>
      </c>
      <c r="C1019" s="23" t="s">
        <v>448</v>
      </c>
      <c r="D1019" s="23" t="s">
        <v>746</v>
      </c>
      <c r="E1019" s="24">
        <v>500</v>
      </c>
      <c r="F1019" s="24">
        <v>260</v>
      </c>
      <c r="G1019" s="24"/>
      <c r="H1019" s="24"/>
      <c r="I1019" s="24"/>
      <c r="J1019" s="24">
        <f t="shared" si="31"/>
        <v>760</v>
      </c>
      <c r="K1019" s="24">
        <f t="shared" si="32"/>
        <v>0</v>
      </c>
    </row>
    <row r="1020" spans="1:11">
      <c r="A1020" s="35"/>
      <c r="B1020" s="24">
        <v>11</v>
      </c>
      <c r="C1020" s="23" t="s">
        <v>449</v>
      </c>
      <c r="D1020" s="23" t="s">
        <v>746</v>
      </c>
      <c r="E1020" s="24">
        <v>340</v>
      </c>
      <c r="F1020" s="24"/>
      <c r="G1020" s="24"/>
      <c r="H1020" s="24"/>
      <c r="I1020" s="24"/>
      <c r="J1020" s="24">
        <f t="shared" si="31"/>
        <v>340</v>
      </c>
      <c r="K1020" s="24">
        <f t="shared" si="32"/>
        <v>420</v>
      </c>
    </row>
    <row r="1021" spans="1:11">
      <c r="A1021" s="35"/>
      <c r="B1021" s="24">
        <v>12</v>
      </c>
      <c r="C1021" s="23" t="s">
        <v>450</v>
      </c>
      <c r="D1021" s="23" t="s">
        <v>746</v>
      </c>
      <c r="E1021" s="24">
        <v>760</v>
      </c>
      <c r="F1021" s="24"/>
      <c r="G1021" s="24"/>
      <c r="H1021" s="24"/>
      <c r="I1021" s="24"/>
      <c r="J1021" s="24">
        <f t="shared" si="31"/>
        <v>760</v>
      </c>
      <c r="K1021" s="24">
        <f t="shared" si="32"/>
        <v>0</v>
      </c>
    </row>
    <row r="1022" spans="1:11">
      <c r="A1022" s="35"/>
      <c r="B1022" s="24">
        <v>13</v>
      </c>
      <c r="C1022" s="23" t="s">
        <v>451</v>
      </c>
      <c r="D1022" s="23" t="s">
        <v>746</v>
      </c>
      <c r="E1022" s="24">
        <v>400</v>
      </c>
      <c r="F1022" s="24">
        <v>360</v>
      </c>
      <c r="G1022" s="24"/>
      <c r="H1022" s="24"/>
      <c r="I1022" s="24"/>
      <c r="J1022" s="24">
        <f t="shared" si="31"/>
        <v>760</v>
      </c>
      <c r="K1022" s="24">
        <f t="shared" si="32"/>
        <v>0</v>
      </c>
    </row>
    <row r="1023" spans="1:11">
      <c r="A1023" s="35"/>
      <c r="B1023" s="24">
        <v>14</v>
      </c>
      <c r="C1023" s="23" t="s">
        <v>452</v>
      </c>
      <c r="D1023" s="23" t="s">
        <v>747</v>
      </c>
      <c r="E1023" s="24">
        <v>760</v>
      </c>
      <c r="F1023" s="24"/>
      <c r="G1023" s="24"/>
      <c r="H1023" s="24"/>
      <c r="I1023" s="24"/>
      <c r="J1023" s="24">
        <f t="shared" si="31"/>
        <v>760</v>
      </c>
      <c r="K1023" s="24">
        <f t="shared" si="32"/>
        <v>0</v>
      </c>
    </row>
    <row r="1024" spans="1:11">
      <c r="A1024" s="35"/>
      <c r="B1024" s="24">
        <v>15</v>
      </c>
      <c r="C1024" s="23" t="s">
        <v>453</v>
      </c>
      <c r="D1024" s="23" t="s">
        <v>747</v>
      </c>
      <c r="E1024" s="24"/>
      <c r="F1024" s="24"/>
      <c r="G1024" s="24"/>
      <c r="H1024" s="24"/>
      <c r="I1024" s="24"/>
      <c r="J1024" s="24" t="str">
        <f t="shared" si="31"/>
        <v/>
      </c>
      <c r="K1024" s="24">
        <f t="shared" si="32"/>
        <v>760</v>
      </c>
    </row>
    <row r="1025" spans="1:11">
      <c r="A1025" s="35"/>
      <c r="B1025" s="24">
        <v>16</v>
      </c>
      <c r="C1025" s="23" t="s">
        <v>454</v>
      </c>
      <c r="D1025" s="23" t="s">
        <v>747</v>
      </c>
      <c r="E1025" s="24">
        <v>500</v>
      </c>
      <c r="F1025" s="24"/>
      <c r="G1025" s="24"/>
      <c r="H1025" s="24"/>
      <c r="I1025" s="24"/>
      <c r="J1025" s="24">
        <f t="shared" si="31"/>
        <v>500</v>
      </c>
      <c r="K1025" s="24">
        <f t="shared" si="32"/>
        <v>260</v>
      </c>
    </row>
    <row r="1026" spans="1:11">
      <c r="A1026" s="35"/>
      <c r="B1026" s="24">
        <v>17</v>
      </c>
      <c r="C1026" s="23" t="s">
        <v>455</v>
      </c>
      <c r="D1026" s="23" t="s">
        <v>747</v>
      </c>
      <c r="E1026" s="24"/>
      <c r="F1026" s="24"/>
      <c r="G1026" s="24"/>
      <c r="H1026" s="24"/>
      <c r="I1026" s="24"/>
      <c r="J1026" s="24" t="str">
        <f t="shared" si="31"/>
        <v/>
      </c>
      <c r="K1026" s="24">
        <f t="shared" si="32"/>
        <v>760</v>
      </c>
    </row>
    <row r="1027" spans="1:11">
      <c r="A1027" s="35"/>
      <c r="B1027" s="24">
        <v>18</v>
      </c>
      <c r="C1027" s="23" t="s">
        <v>456</v>
      </c>
      <c r="D1027" s="23" t="s">
        <v>747</v>
      </c>
      <c r="E1027" s="24">
        <v>760</v>
      </c>
      <c r="F1027" s="24"/>
      <c r="G1027" s="24"/>
      <c r="H1027" s="24"/>
      <c r="I1027" s="24"/>
      <c r="J1027" s="24">
        <f t="shared" si="31"/>
        <v>760</v>
      </c>
      <c r="K1027" s="24">
        <f t="shared" si="32"/>
        <v>0</v>
      </c>
    </row>
    <row r="1028" spans="1:11">
      <c r="A1028" s="35"/>
      <c r="B1028" s="24">
        <v>19</v>
      </c>
      <c r="C1028" s="23" t="s">
        <v>457</v>
      </c>
      <c r="D1028" s="23" t="s">
        <v>747</v>
      </c>
      <c r="E1028" s="24">
        <v>400</v>
      </c>
      <c r="F1028" s="24"/>
      <c r="G1028" s="24"/>
      <c r="H1028" s="24"/>
      <c r="I1028" s="24"/>
      <c r="J1028" s="24">
        <f t="shared" si="31"/>
        <v>400</v>
      </c>
      <c r="K1028" s="24">
        <f t="shared" si="32"/>
        <v>360</v>
      </c>
    </row>
    <row r="1029" spans="1:11">
      <c r="A1029" s="35"/>
      <c r="B1029" s="24">
        <v>20</v>
      </c>
      <c r="C1029" s="23" t="s">
        <v>458</v>
      </c>
      <c r="D1029" s="23" t="s">
        <v>747</v>
      </c>
      <c r="E1029" s="24">
        <v>300</v>
      </c>
      <c r="F1029" s="24"/>
      <c r="G1029" s="24"/>
      <c r="H1029" s="24"/>
      <c r="I1029" s="24"/>
      <c r="J1029" s="24">
        <f t="shared" si="31"/>
        <v>300</v>
      </c>
      <c r="K1029" s="24">
        <f t="shared" si="32"/>
        <v>460</v>
      </c>
    </row>
    <row r="1030" spans="1:11">
      <c r="A1030" s="35"/>
      <c r="B1030" s="24">
        <v>21</v>
      </c>
      <c r="C1030" s="23" t="s">
        <v>459</v>
      </c>
      <c r="D1030" s="23" t="s">
        <v>747</v>
      </c>
      <c r="E1030" s="24">
        <v>760</v>
      </c>
      <c r="F1030" s="24"/>
      <c r="G1030" s="24"/>
      <c r="H1030" s="24"/>
      <c r="I1030" s="24"/>
      <c r="J1030" s="24">
        <f t="shared" si="31"/>
        <v>760</v>
      </c>
      <c r="K1030" s="24">
        <f t="shared" si="32"/>
        <v>0</v>
      </c>
    </row>
    <row r="1031" spans="1:11">
      <c r="A1031" s="35"/>
      <c r="B1031" s="24">
        <v>22</v>
      </c>
      <c r="C1031" s="23" t="s">
        <v>460</v>
      </c>
      <c r="D1031" s="23" t="s">
        <v>746</v>
      </c>
      <c r="E1031" s="24">
        <v>300</v>
      </c>
      <c r="F1031" s="24"/>
      <c r="G1031" s="24"/>
      <c r="H1031" s="24"/>
      <c r="I1031" s="24"/>
      <c r="J1031" s="24">
        <f t="shared" si="31"/>
        <v>300</v>
      </c>
      <c r="K1031" s="24">
        <f t="shared" si="32"/>
        <v>460</v>
      </c>
    </row>
    <row r="1032" spans="1:11">
      <c r="A1032" s="35"/>
      <c r="B1032" s="24">
        <v>23</v>
      </c>
      <c r="C1032" s="23" t="s">
        <v>680</v>
      </c>
      <c r="D1032" s="23" t="s">
        <v>747</v>
      </c>
      <c r="E1032" s="24">
        <v>360</v>
      </c>
      <c r="F1032" s="24"/>
      <c r="G1032" s="24"/>
      <c r="H1032" s="24"/>
      <c r="I1032" s="24"/>
      <c r="J1032" s="24">
        <f t="shared" si="31"/>
        <v>360</v>
      </c>
      <c r="K1032" s="24">
        <f t="shared" si="32"/>
        <v>400</v>
      </c>
    </row>
    <row r="1033" spans="1:11">
      <c r="A1033" s="35"/>
      <c r="B1033" s="24">
        <v>24</v>
      </c>
      <c r="C1033" s="23" t="s">
        <v>461</v>
      </c>
      <c r="D1033" s="23" t="s">
        <v>746</v>
      </c>
      <c r="E1033" s="24">
        <v>400</v>
      </c>
      <c r="F1033" s="24"/>
      <c r="G1033" s="24"/>
      <c r="H1033" s="24"/>
      <c r="I1033" s="24"/>
      <c r="J1033" s="24">
        <f t="shared" si="31"/>
        <v>400</v>
      </c>
      <c r="K1033" s="24">
        <f t="shared" si="32"/>
        <v>360</v>
      </c>
    </row>
    <row r="1034" spans="1:11">
      <c r="A1034" s="35"/>
      <c r="B1034" s="24">
        <v>25</v>
      </c>
      <c r="C1034" s="23" t="s">
        <v>696</v>
      </c>
      <c r="D1034" s="23" t="s">
        <v>747</v>
      </c>
      <c r="E1034" s="24">
        <v>760</v>
      </c>
      <c r="F1034" s="24"/>
      <c r="G1034" s="24"/>
      <c r="H1034" s="24"/>
      <c r="I1034" s="24"/>
      <c r="J1034" s="24">
        <f t="shared" si="31"/>
        <v>760</v>
      </c>
      <c r="K1034" s="24">
        <f t="shared" si="32"/>
        <v>0</v>
      </c>
    </row>
    <row r="1035" spans="1:11">
      <c r="A1035" s="35"/>
      <c r="B1035" s="24">
        <v>26</v>
      </c>
      <c r="C1035" s="23" t="s">
        <v>462</v>
      </c>
      <c r="D1035" s="23" t="s">
        <v>746</v>
      </c>
      <c r="E1035" s="24">
        <v>760</v>
      </c>
      <c r="F1035" s="24"/>
      <c r="G1035" s="24"/>
      <c r="H1035" s="24"/>
      <c r="I1035" s="24"/>
      <c r="J1035" s="24">
        <f t="shared" si="31"/>
        <v>760</v>
      </c>
      <c r="K1035" s="24">
        <f t="shared" si="32"/>
        <v>0</v>
      </c>
    </row>
    <row r="1036" spans="1:11">
      <c r="A1036" s="35"/>
      <c r="B1036" s="24">
        <v>27</v>
      </c>
      <c r="C1036" s="23" t="s">
        <v>463</v>
      </c>
      <c r="D1036" s="23" t="s">
        <v>746</v>
      </c>
      <c r="E1036" s="24">
        <v>500</v>
      </c>
      <c r="F1036" s="24"/>
      <c r="G1036" s="24"/>
      <c r="H1036" s="24"/>
      <c r="I1036" s="24"/>
      <c r="J1036" s="24">
        <f t="shared" si="31"/>
        <v>500</v>
      </c>
      <c r="K1036" s="24">
        <f t="shared" si="32"/>
        <v>260</v>
      </c>
    </row>
    <row r="1037" spans="1:11">
      <c r="A1037" s="35"/>
      <c r="B1037" s="24">
        <v>28</v>
      </c>
      <c r="C1037" s="23" t="s">
        <v>464</v>
      </c>
      <c r="D1037" s="23" t="s">
        <v>746</v>
      </c>
      <c r="E1037" s="24"/>
      <c r="F1037" s="24"/>
      <c r="G1037" s="24"/>
      <c r="H1037" s="24"/>
      <c r="I1037" s="24"/>
      <c r="J1037" s="24" t="str">
        <f t="shared" si="31"/>
        <v/>
      </c>
      <c r="K1037" s="24">
        <f t="shared" si="32"/>
        <v>760</v>
      </c>
    </row>
    <row r="1038" spans="1:11">
      <c r="A1038" s="35"/>
      <c r="B1038" s="24">
        <v>29</v>
      </c>
      <c r="C1038" s="23" t="s">
        <v>465</v>
      </c>
      <c r="D1038" s="23" t="s">
        <v>746</v>
      </c>
      <c r="E1038" s="24">
        <v>760</v>
      </c>
      <c r="F1038" s="24"/>
      <c r="G1038" s="24"/>
      <c r="H1038" s="24"/>
      <c r="I1038" s="24"/>
      <c r="J1038" s="24">
        <f t="shared" si="31"/>
        <v>760</v>
      </c>
      <c r="K1038" s="24">
        <f t="shared" si="32"/>
        <v>0</v>
      </c>
    </row>
    <row r="1039" spans="1:11">
      <c r="A1039" s="35"/>
      <c r="B1039" s="24">
        <v>30</v>
      </c>
      <c r="C1039" s="23" t="s">
        <v>466</v>
      </c>
      <c r="D1039" s="23" t="s">
        <v>747</v>
      </c>
      <c r="E1039" s="24">
        <v>400</v>
      </c>
      <c r="F1039" s="24"/>
      <c r="G1039" s="24"/>
      <c r="H1039" s="24"/>
      <c r="I1039" s="24"/>
      <c r="J1039" s="24">
        <f t="shared" si="31"/>
        <v>400</v>
      </c>
      <c r="K1039" s="24">
        <f t="shared" si="32"/>
        <v>360</v>
      </c>
    </row>
    <row r="1040" spans="1:11">
      <c r="A1040" s="35"/>
      <c r="B1040" s="24">
        <v>31</v>
      </c>
      <c r="C1040" s="23" t="s">
        <v>467</v>
      </c>
      <c r="D1040" s="23" t="s">
        <v>746</v>
      </c>
      <c r="E1040" s="24">
        <v>760</v>
      </c>
      <c r="F1040" s="24"/>
      <c r="G1040" s="24"/>
      <c r="H1040" s="24"/>
      <c r="I1040" s="24"/>
      <c r="J1040" s="24">
        <f t="shared" si="31"/>
        <v>760</v>
      </c>
      <c r="K1040" s="24">
        <f t="shared" si="32"/>
        <v>0</v>
      </c>
    </row>
    <row r="1041" spans="1:11">
      <c r="A1041" s="35"/>
      <c r="B1041" s="24">
        <v>32</v>
      </c>
      <c r="C1041" s="23" t="s">
        <v>468</v>
      </c>
      <c r="D1041" s="23" t="s">
        <v>746</v>
      </c>
      <c r="E1041" s="24"/>
      <c r="F1041" s="24"/>
      <c r="G1041" s="24"/>
      <c r="H1041" s="24"/>
      <c r="I1041" s="24"/>
      <c r="J1041" s="24" t="str">
        <f t="shared" si="31"/>
        <v/>
      </c>
      <c r="K1041" s="24">
        <f t="shared" si="32"/>
        <v>760</v>
      </c>
    </row>
    <row r="1042" spans="1:11">
      <c r="A1042" s="35"/>
      <c r="B1042" s="24">
        <v>33</v>
      </c>
      <c r="C1042" s="23" t="s">
        <v>469</v>
      </c>
      <c r="D1042" s="23" t="s">
        <v>746</v>
      </c>
      <c r="E1042" s="24">
        <v>400</v>
      </c>
      <c r="F1042" s="24"/>
      <c r="G1042" s="24"/>
      <c r="H1042" s="24"/>
      <c r="I1042" s="24"/>
      <c r="J1042" s="24">
        <f t="shared" si="31"/>
        <v>400</v>
      </c>
      <c r="K1042" s="24">
        <f t="shared" si="32"/>
        <v>360</v>
      </c>
    </row>
    <row r="1043" spans="1:11">
      <c r="A1043" s="35"/>
      <c r="B1043" s="24">
        <v>34</v>
      </c>
      <c r="C1043" s="23" t="s">
        <v>470</v>
      </c>
      <c r="D1043" s="23" t="s">
        <v>747</v>
      </c>
      <c r="E1043" s="24">
        <v>200</v>
      </c>
      <c r="F1043" s="24">
        <v>200</v>
      </c>
      <c r="G1043" s="24">
        <v>360</v>
      </c>
      <c r="H1043" s="24"/>
      <c r="I1043" s="24"/>
      <c r="J1043" s="24">
        <f t="shared" si="31"/>
        <v>760</v>
      </c>
      <c r="K1043" s="24">
        <f t="shared" si="32"/>
        <v>0</v>
      </c>
    </row>
    <row r="1044" spans="1:11">
      <c r="A1044" s="35"/>
      <c r="B1044" s="24">
        <v>35</v>
      </c>
      <c r="C1044" s="23" t="s">
        <v>471</v>
      </c>
      <c r="D1044" s="23" t="s">
        <v>747</v>
      </c>
      <c r="E1044" s="24">
        <v>200</v>
      </c>
      <c r="F1044" s="24">
        <v>200</v>
      </c>
      <c r="G1044" s="24">
        <v>360</v>
      </c>
      <c r="H1044" s="24"/>
      <c r="I1044" s="24"/>
      <c r="J1044" s="24">
        <f t="shared" si="31"/>
        <v>760</v>
      </c>
      <c r="K1044" s="24">
        <f t="shared" si="32"/>
        <v>0</v>
      </c>
    </row>
    <row r="1045" spans="1:11">
      <c r="A1045" s="35"/>
      <c r="B1045" s="24">
        <v>36</v>
      </c>
      <c r="C1045" s="23" t="s">
        <v>472</v>
      </c>
      <c r="D1045" s="23" t="s">
        <v>747</v>
      </c>
      <c r="E1045" s="24">
        <v>200</v>
      </c>
      <c r="F1045" s="24"/>
      <c r="G1045" s="24"/>
      <c r="H1045" s="24"/>
      <c r="I1045" s="24"/>
      <c r="J1045" s="24">
        <f t="shared" si="31"/>
        <v>200</v>
      </c>
      <c r="K1045" s="24">
        <f t="shared" si="32"/>
        <v>560</v>
      </c>
    </row>
    <row r="1046" spans="1:11">
      <c r="A1046" s="35"/>
      <c r="B1046" s="24">
        <v>37</v>
      </c>
      <c r="C1046" s="23" t="s">
        <v>473</v>
      </c>
      <c r="D1046" s="23" t="s">
        <v>747</v>
      </c>
      <c r="E1046" s="24">
        <v>150</v>
      </c>
      <c r="F1046" s="24">
        <v>200</v>
      </c>
      <c r="G1046" s="24">
        <v>410</v>
      </c>
      <c r="H1046" s="24"/>
      <c r="I1046" s="24"/>
      <c r="J1046" s="24">
        <f t="shared" si="31"/>
        <v>760</v>
      </c>
      <c r="K1046" s="24">
        <f t="shared" si="32"/>
        <v>0</v>
      </c>
    </row>
    <row r="1047" spans="1:11">
      <c r="A1047" s="35"/>
      <c r="B1047" s="24">
        <v>38</v>
      </c>
      <c r="C1047" s="23"/>
      <c r="D1047" s="23"/>
      <c r="E1047" s="24"/>
      <c r="F1047" s="24"/>
      <c r="G1047" s="24"/>
      <c r="H1047" s="24"/>
      <c r="I1047" s="24"/>
      <c r="J1047" s="24" t="str">
        <f t="shared" si="31"/>
        <v/>
      </c>
      <c r="K1047" s="24">
        <f t="shared" si="32"/>
        <v>760</v>
      </c>
    </row>
    <row r="1048" spans="1:11">
      <c r="A1048" s="35"/>
      <c r="B1048" s="24">
        <v>39</v>
      </c>
      <c r="C1048" s="23"/>
      <c r="D1048" s="23"/>
      <c r="E1048" s="24"/>
      <c r="F1048" s="24"/>
      <c r="G1048" s="24"/>
      <c r="H1048" s="24"/>
      <c r="I1048" s="24"/>
      <c r="J1048" s="24" t="str">
        <f t="shared" si="31"/>
        <v/>
      </c>
      <c r="K1048" s="24">
        <f t="shared" si="32"/>
        <v>760</v>
      </c>
    </row>
    <row r="1049" spans="1:11">
      <c r="A1049" s="35"/>
      <c r="B1049" s="24">
        <v>40</v>
      </c>
      <c r="C1049" s="23"/>
      <c r="D1049" s="23"/>
      <c r="E1049" s="24"/>
      <c r="F1049" s="24"/>
      <c r="G1049" s="24"/>
      <c r="H1049" s="24"/>
      <c r="I1049" s="24"/>
      <c r="J1049" s="24" t="str">
        <f t="shared" si="31"/>
        <v/>
      </c>
      <c r="K1049" s="24">
        <f t="shared" si="32"/>
        <v>760</v>
      </c>
    </row>
    <row r="1050" spans="1:11">
      <c r="A1050" s="35"/>
      <c r="B1050" s="24">
        <v>41</v>
      </c>
      <c r="C1050" s="23"/>
      <c r="D1050" s="23"/>
      <c r="E1050" s="24"/>
      <c r="F1050" s="24"/>
      <c r="G1050" s="24"/>
      <c r="H1050" s="24"/>
      <c r="I1050" s="24"/>
      <c r="J1050" s="24" t="str">
        <f t="shared" si="31"/>
        <v/>
      </c>
      <c r="K1050" s="24">
        <f t="shared" si="32"/>
        <v>760</v>
      </c>
    </row>
    <row r="1051" spans="1:11">
      <c r="A1051" s="35"/>
      <c r="B1051" s="24">
        <v>42</v>
      </c>
      <c r="C1051" s="23"/>
      <c r="D1051" s="23"/>
      <c r="E1051" s="24"/>
      <c r="F1051" s="24"/>
      <c r="G1051" s="24"/>
      <c r="H1051" s="24"/>
      <c r="I1051" s="24"/>
      <c r="J1051" s="24" t="str">
        <f t="shared" si="31"/>
        <v/>
      </c>
      <c r="K1051" s="24">
        <f t="shared" si="32"/>
        <v>760</v>
      </c>
    </row>
    <row r="1052" spans="1:11">
      <c r="A1052" s="35"/>
      <c r="B1052" s="24">
        <v>43</v>
      </c>
      <c r="C1052" s="23"/>
      <c r="D1052" s="23"/>
      <c r="E1052" s="24"/>
      <c r="F1052" s="24"/>
      <c r="G1052" s="24"/>
      <c r="H1052" s="24"/>
      <c r="I1052" s="24"/>
      <c r="J1052" s="24" t="str">
        <f t="shared" si="31"/>
        <v/>
      </c>
      <c r="K1052" s="24">
        <f t="shared" si="32"/>
        <v>760</v>
      </c>
    </row>
    <row r="1053" spans="1:11">
      <c r="A1053" s="35"/>
      <c r="B1053" s="24">
        <v>44</v>
      </c>
      <c r="C1053" s="23"/>
      <c r="D1053" s="23"/>
      <c r="E1053" s="24"/>
      <c r="F1053" s="24"/>
      <c r="G1053" s="24"/>
      <c r="H1053" s="24"/>
      <c r="I1053" s="24"/>
      <c r="J1053" s="24" t="str">
        <f t="shared" si="31"/>
        <v/>
      </c>
      <c r="K1053" s="24">
        <f t="shared" si="32"/>
        <v>760</v>
      </c>
    </row>
    <row r="1054" spans="1:11">
      <c r="A1054" s="35"/>
      <c r="B1054" s="24">
        <v>45</v>
      </c>
      <c r="C1054" s="23"/>
      <c r="D1054" s="23"/>
      <c r="E1054" s="24"/>
      <c r="F1054" s="24"/>
      <c r="G1054" s="24"/>
      <c r="H1054" s="24"/>
      <c r="I1054" s="24"/>
      <c r="J1054" s="24" t="str">
        <f t="shared" si="31"/>
        <v/>
      </c>
      <c r="K1054" s="24">
        <f t="shared" si="32"/>
        <v>760</v>
      </c>
    </row>
    <row r="1055" spans="1:11">
      <c r="A1055" s="35"/>
      <c r="B1055" s="24">
        <v>46</v>
      </c>
      <c r="C1055" s="23"/>
      <c r="D1055" s="23"/>
      <c r="E1055" s="24"/>
      <c r="F1055" s="24"/>
      <c r="G1055" s="24"/>
      <c r="H1055" s="24"/>
      <c r="I1055" s="24"/>
      <c r="J1055" s="24" t="str">
        <f t="shared" si="31"/>
        <v/>
      </c>
      <c r="K1055" s="24">
        <f t="shared" si="32"/>
        <v>760</v>
      </c>
    </row>
    <row r="1056" spans="1:11">
      <c r="A1056" s="35"/>
      <c r="B1056" s="24">
        <v>47</v>
      </c>
      <c r="C1056" s="23"/>
      <c r="D1056" s="23"/>
      <c r="E1056" s="24"/>
      <c r="F1056" s="24"/>
      <c r="G1056" s="24"/>
      <c r="H1056" s="24"/>
      <c r="I1056" s="24"/>
      <c r="J1056" s="24" t="str">
        <f t="shared" si="31"/>
        <v/>
      </c>
      <c r="K1056" s="24">
        <f t="shared" si="32"/>
        <v>760</v>
      </c>
    </row>
    <row r="1057" spans="1:11">
      <c r="A1057" s="35"/>
      <c r="B1057" s="24">
        <v>48</v>
      </c>
      <c r="C1057" s="23"/>
      <c r="D1057" s="23"/>
      <c r="E1057" s="24"/>
      <c r="F1057" s="24"/>
      <c r="G1057" s="24"/>
      <c r="H1057" s="24"/>
      <c r="I1057" s="24"/>
      <c r="J1057" s="24" t="str">
        <f t="shared" si="31"/>
        <v/>
      </c>
      <c r="K1057" s="24">
        <f t="shared" si="32"/>
        <v>760</v>
      </c>
    </row>
    <row r="1058" spans="1:11">
      <c r="A1058" s="35"/>
      <c r="B1058" s="24">
        <v>49</v>
      </c>
      <c r="C1058" s="23"/>
      <c r="D1058" s="23"/>
      <c r="E1058" s="24"/>
      <c r="F1058" s="24"/>
      <c r="G1058" s="24"/>
      <c r="H1058" s="24"/>
      <c r="I1058" s="24"/>
      <c r="J1058" s="24" t="str">
        <f t="shared" si="31"/>
        <v/>
      </c>
      <c r="K1058" s="24">
        <f t="shared" si="32"/>
        <v>760</v>
      </c>
    </row>
    <row r="1059" spans="1:11">
      <c r="A1059" s="35"/>
      <c r="B1059" s="24">
        <v>50</v>
      </c>
      <c r="C1059" s="23"/>
      <c r="D1059" s="23"/>
      <c r="E1059" s="24"/>
      <c r="F1059" s="24"/>
      <c r="G1059" s="24"/>
      <c r="H1059" s="24"/>
      <c r="I1059" s="24"/>
      <c r="J1059" s="24" t="str">
        <f t="shared" si="31"/>
        <v/>
      </c>
      <c r="K1059" s="24">
        <f t="shared" si="32"/>
        <v>760</v>
      </c>
    </row>
    <row r="1060" spans="1:11">
      <c r="A1060" s="35"/>
      <c r="B1060" s="24">
        <v>51</v>
      </c>
      <c r="C1060" s="23"/>
      <c r="D1060" s="23"/>
      <c r="E1060" s="24"/>
      <c r="F1060" s="24"/>
      <c r="G1060" s="24"/>
      <c r="H1060" s="24"/>
      <c r="I1060" s="24"/>
      <c r="J1060" s="24" t="str">
        <f t="shared" si="31"/>
        <v/>
      </c>
      <c r="K1060" s="24">
        <f t="shared" si="32"/>
        <v>760</v>
      </c>
    </row>
    <row r="1061" spans="1:11">
      <c r="A1061" s="35"/>
      <c r="B1061" s="24">
        <v>52</v>
      </c>
      <c r="C1061" s="23"/>
      <c r="D1061" s="23"/>
      <c r="E1061" s="24"/>
      <c r="F1061" s="24"/>
      <c r="G1061" s="24"/>
      <c r="H1061" s="24"/>
      <c r="I1061" s="24"/>
      <c r="J1061" s="24" t="str">
        <f t="shared" si="31"/>
        <v/>
      </c>
      <c r="K1061" s="24">
        <f t="shared" si="32"/>
        <v>760</v>
      </c>
    </row>
    <row r="1062" spans="1:11">
      <c r="A1062" s="35"/>
      <c r="B1062" s="24">
        <v>53</v>
      </c>
      <c r="C1062" s="23"/>
      <c r="D1062" s="23"/>
      <c r="E1062" s="24"/>
      <c r="F1062" s="24"/>
      <c r="G1062" s="24"/>
      <c r="H1062" s="24"/>
      <c r="I1062" s="24"/>
      <c r="J1062" s="24" t="str">
        <f t="shared" si="31"/>
        <v/>
      </c>
      <c r="K1062" s="24">
        <f t="shared" si="32"/>
        <v>760</v>
      </c>
    </row>
    <row r="1063" spans="1:11">
      <c r="A1063" s="35"/>
      <c r="B1063" s="24">
        <v>54</v>
      </c>
      <c r="C1063" s="23"/>
      <c r="D1063" s="23"/>
      <c r="E1063" s="24"/>
      <c r="F1063" s="24"/>
      <c r="G1063" s="24"/>
      <c r="H1063" s="24"/>
      <c r="I1063" s="24"/>
      <c r="J1063" s="24" t="str">
        <f t="shared" si="31"/>
        <v/>
      </c>
      <c r="K1063" s="24">
        <f t="shared" si="32"/>
        <v>760</v>
      </c>
    </row>
    <row r="1064" spans="1:11">
      <c r="A1064" s="35"/>
      <c r="B1064" s="24">
        <v>55</v>
      </c>
      <c r="C1064" s="23"/>
      <c r="D1064" s="23"/>
      <c r="E1064" s="24"/>
      <c r="F1064" s="24"/>
      <c r="G1064" s="24"/>
      <c r="H1064" s="24"/>
      <c r="I1064" s="24"/>
      <c r="J1064" s="24" t="str">
        <f t="shared" si="31"/>
        <v/>
      </c>
      <c r="K1064" s="24">
        <f t="shared" si="32"/>
        <v>760</v>
      </c>
    </row>
    <row r="1065" spans="1:11">
      <c r="A1065" s="35"/>
      <c r="B1065" s="24">
        <v>56</v>
      </c>
      <c r="C1065" s="23"/>
      <c r="D1065" s="23"/>
      <c r="E1065" s="24"/>
      <c r="F1065" s="24"/>
      <c r="G1065" s="24"/>
      <c r="H1065" s="24"/>
      <c r="I1065" s="24"/>
      <c r="J1065" s="24" t="str">
        <f t="shared" si="31"/>
        <v/>
      </c>
      <c r="K1065" s="24">
        <f t="shared" si="32"/>
        <v>760</v>
      </c>
    </row>
    <row r="1066" spans="1:11">
      <c r="A1066" s="35"/>
      <c r="B1066" s="24">
        <v>57</v>
      </c>
      <c r="C1066" s="23"/>
      <c r="D1066" s="23"/>
      <c r="E1066" s="24"/>
      <c r="F1066" s="24"/>
      <c r="G1066" s="24"/>
      <c r="H1066" s="24"/>
      <c r="I1066" s="24"/>
      <c r="J1066" s="24" t="str">
        <f t="shared" si="31"/>
        <v/>
      </c>
      <c r="K1066" s="24">
        <f t="shared" si="32"/>
        <v>760</v>
      </c>
    </row>
    <row r="1067" spans="1:11">
      <c r="A1067" s="35"/>
      <c r="B1067" s="24">
        <v>58</v>
      </c>
      <c r="C1067" s="23"/>
      <c r="D1067" s="23"/>
      <c r="E1067" s="24"/>
      <c r="F1067" s="24"/>
      <c r="G1067" s="24"/>
      <c r="H1067" s="24"/>
      <c r="I1067" s="24"/>
      <c r="J1067" s="24" t="str">
        <f t="shared" si="31"/>
        <v/>
      </c>
      <c r="K1067" s="24">
        <f t="shared" si="32"/>
        <v>760</v>
      </c>
    </row>
    <row r="1068" spans="1:11">
      <c r="A1068" s="35"/>
      <c r="B1068" s="24">
        <v>59</v>
      </c>
      <c r="C1068" s="23"/>
      <c r="D1068" s="23"/>
      <c r="E1068" s="24"/>
      <c r="F1068" s="24"/>
      <c r="G1068" s="24"/>
      <c r="H1068" s="24"/>
      <c r="I1068" s="24"/>
      <c r="J1068" s="24" t="str">
        <f t="shared" si="31"/>
        <v/>
      </c>
      <c r="K1068" s="24">
        <f t="shared" si="32"/>
        <v>760</v>
      </c>
    </row>
    <row r="1069" spans="1:11">
      <c r="A1069" s="35"/>
      <c r="B1069" s="24">
        <v>60</v>
      </c>
      <c r="C1069" s="23"/>
      <c r="D1069" s="23"/>
      <c r="E1069" s="24"/>
      <c r="F1069" s="24"/>
      <c r="G1069" s="24"/>
      <c r="H1069" s="24"/>
      <c r="I1069" s="24"/>
      <c r="J1069" s="24" t="str">
        <f t="shared" si="31"/>
        <v/>
      </c>
      <c r="K1069" s="24">
        <f t="shared" si="32"/>
        <v>760</v>
      </c>
    </row>
    <row r="1070" spans="1:11">
      <c r="A1070" s="35"/>
      <c r="B1070" s="34"/>
      <c r="C1070" s="34"/>
      <c r="D1070" s="34"/>
      <c r="E1070" s="34"/>
      <c r="F1070" s="34"/>
      <c r="G1070" s="34"/>
      <c r="H1070" s="34"/>
      <c r="I1070" s="33" t="s">
        <v>31</v>
      </c>
      <c r="J1070" s="33"/>
      <c r="K1070" s="24">
        <f>SUM(K1010:K1069)</f>
        <v>27280</v>
      </c>
    </row>
    <row r="1074" spans="1:11">
      <c r="A1074" s="23">
        <v>17</v>
      </c>
      <c r="B1074" s="23" t="s">
        <v>0</v>
      </c>
      <c r="C1074" s="28" t="str">
        <f>IF('Navigation and Summary'!$B$25="", "", 'Navigation and Summary'!$B$25)</f>
        <v>BASIC 6B</v>
      </c>
      <c r="D1074" s="28"/>
      <c r="E1074" s="23" t="s">
        <v>37</v>
      </c>
      <c r="F1074" s="24">
        <f>IF('Navigation and Summary'!$C$25="", "", 'Navigation and Summary'!$C$25)</f>
        <v>760</v>
      </c>
      <c r="G1074" s="23" t="s">
        <v>34</v>
      </c>
      <c r="H1074" s="24" t="str">
        <f>IF(C1074="", "", 'Navigation and Summary'!$G$6)</f>
        <v>2025-26</v>
      </c>
    </row>
    <row r="1075" spans="1:11">
      <c r="A1075" s="35"/>
      <c r="B1075" s="35" t="s">
        <v>32</v>
      </c>
      <c r="C1075" s="35"/>
      <c r="D1075" s="35"/>
      <c r="E1075" s="35"/>
      <c r="F1075" s="35"/>
      <c r="G1075" s="35"/>
      <c r="H1075" s="35"/>
      <c r="I1075" s="23"/>
      <c r="J1075" s="23"/>
      <c r="K1075" s="23"/>
    </row>
    <row r="1076" spans="1:11" ht="28.5">
      <c r="A1076" s="35"/>
      <c r="B1076" s="25" t="s">
        <v>1</v>
      </c>
      <c r="C1076" s="25" t="s">
        <v>2</v>
      </c>
      <c r="D1076" s="25" t="s">
        <v>745</v>
      </c>
      <c r="E1076" s="25" t="s">
        <v>3</v>
      </c>
      <c r="F1076" s="25" t="s">
        <v>4</v>
      </c>
      <c r="G1076" s="25" t="s">
        <v>5</v>
      </c>
      <c r="H1076" s="25" t="s">
        <v>6</v>
      </c>
      <c r="I1076" s="25" t="s">
        <v>7</v>
      </c>
      <c r="J1076" s="25" t="s">
        <v>8</v>
      </c>
      <c r="K1076" s="25" t="s">
        <v>9</v>
      </c>
    </row>
    <row r="1077" spans="1:11">
      <c r="A1077" s="35"/>
      <c r="B1077" s="24">
        <v>1</v>
      </c>
      <c r="C1077" s="23" t="s">
        <v>474</v>
      </c>
      <c r="D1077" s="23" t="s">
        <v>746</v>
      </c>
      <c r="E1077" s="24"/>
      <c r="F1077" s="24"/>
      <c r="G1077" s="24"/>
      <c r="H1077" s="24"/>
      <c r="I1077" s="24"/>
      <c r="J1077" s="24" t="str">
        <f>IF(SUM(E1077:I1077)=0, "", SUM(E1077:I1077))</f>
        <v/>
      </c>
      <c r="K1077" s="24">
        <f xml:space="preserve"> IFERROR(IF(($F$1074-J1077)=0, 0, ($F$1074-J1077)),$F$1074)</f>
        <v>760</v>
      </c>
    </row>
    <row r="1078" spans="1:11">
      <c r="A1078" s="35"/>
      <c r="B1078" s="24">
        <v>2</v>
      </c>
      <c r="C1078" s="23" t="s">
        <v>504</v>
      </c>
      <c r="D1078" s="23" t="s">
        <v>746</v>
      </c>
      <c r="E1078" s="24">
        <v>350</v>
      </c>
      <c r="F1078" s="24"/>
      <c r="G1078" s="24"/>
      <c r="H1078" s="24"/>
      <c r="I1078" s="24"/>
      <c r="J1078" s="24">
        <f t="shared" ref="J1078:J1136" si="33">IF(SUM(E1078:I1078)=0, "", SUM(E1078:I1078))</f>
        <v>350</v>
      </c>
      <c r="K1078" s="24">
        <f t="shared" ref="K1078:K1136" si="34" xml:space="preserve"> IFERROR(IF(($F$1074-J1078)=0, 0, ($F$1074-J1078)),$F$1074)</f>
        <v>410</v>
      </c>
    </row>
    <row r="1079" spans="1:11">
      <c r="A1079" s="35"/>
      <c r="B1079" s="24">
        <v>3</v>
      </c>
      <c r="C1079" s="23" t="s">
        <v>475</v>
      </c>
      <c r="D1079" s="23" t="s">
        <v>746</v>
      </c>
      <c r="E1079" s="24"/>
      <c r="F1079" s="24"/>
      <c r="G1079" s="24"/>
      <c r="H1079" s="24"/>
      <c r="I1079" s="24"/>
      <c r="J1079" s="24" t="str">
        <f t="shared" si="33"/>
        <v/>
      </c>
      <c r="K1079" s="24">
        <f t="shared" si="34"/>
        <v>760</v>
      </c>
    </row>
    <row r="1080" spans="1:11">
      <c r="A1080" s="35"/>
      <c r="B1080" s="24">
        <v>4</v>
      </c>
      <c r="C1080" s="23" t="s">
        <v>476</v>
      </c>
      <c r="D1080" s="23" t="s">
        <v>746</v>
      </c>
      <c r="E1080" s="24"/>
      <c r="F1080" s="24"/>
      <c r="G1080" s="24"/>
      <c r="H1080" s="24"/>
      <c r="I1080" s="24"/>
      <c r="J1080" s="24" t="str">
        <f t="shared" si="33"/>
        <v/>
      </c>
      <c r="K1080" s="24">
        <f t="shared" si="34"/>
        <v>760</v>
      </c>
    </row>
    <row r="1081" spans="1:11">
      <c r="A1081" s="35"/>
      <c r="B1081" s="24">
        <v>5</v>
      </c>
      <c r="C1081" s="23" t="s">
        <v>477</v>
      </c>
      <c r="D1081" s="23" t="s">
        <v>746</v>
      </c>
      <c r="E1081" s="24">
        <v>200</v>
      </c>
      <c r="F1081" s="24">
        <v>100</v>
      </c>
      <c r="G1081" s="24"/>
      <c r="H1081" s="24"/>
      <c r="I1081" s="24"/>
      <c r="J1081" s="24">
        <f t="shared" si="33"/>
        <v>300</v>
      </c>
      <c r="K1081" s="24">
        <f t="shared" si="34"/>
        <v>460</v>
      </c>
    </row>
    <row r="1082" spans="1:11">
      <c r="A1082" s="35"/>
      <c r="B1082" s="24">
        <v>6</v>
      </c>
      <c r="C1082" s="23" t="s">
        <v>698</v>
      </c>
      <c r="D1082" s="23" t="s">
        <v>747</v>
      </c>
      <c r="E1082" s="24">
        <v>100</v>
      </c>
      <c r="F1082" s="24">
        <v>100</v>
      </c>
      <c r="G1082" s="24"/>
      <c r="H1082" s="24"/>
      <c r="I1082" s="24"/>
      <c r="J1082" s="24">
        <f t="shared" si="33"/>
        <v>200</v>
      </c>
      <c r="K1082" s="24">
        <f t="shared" si="34"/>
        <v>560</v>
      </c>
    </row>
    <row r="1083" spans="1:11">
      <c r="A1083" s="35"/>
      <c r="B1083" s="24">
        <v>7</v>
      </c>
      <c r="C1083" s="23" t="s">
        <v>478</v>
      </c>
      <c r="D1083" s="23" t="s">
        <v>747</v>
      </c>
      <c r="E1083" s="24">
        <v>500</v>
      </c>
      <c r="F1083" s="24">
        <v>260</v>
      </c>
      <c r="G1083" s="24"/>
      <c r="H1083" s="24"/>
      <c r="I1083" s="24"/>
      <c r="J1083" s="24">
        <f t="shared" si="33"/>
        <v>760</v>
      </c>
      <c r="K1083" s="24">
        <f t="shared" si="34"/>
        <v>0</v>
      </c>
    </row>
    <row r="1084" spans="1:11">
      <c r="A1084" s="35"/>
      <c r="B1084" s="24">
        <v>8</v>
      </c>
      <c r="C1084" s="23" t="s">
        <v>479</v>
      </c>
      <c r="D1084" s="23" t="s">
        <v>746</v>
      </c>
      <c r="E1084" s="24">
        <v>250</v>
      </c>
      <c r="F1084" s="24">
        <v>50</v>
      </c>
      <c r="G1084" s="24">
        <v>350</v>
      </c>
      <c r="H1084" s="24"/>
      <c r="I1084" s="24"/>
      <c r="J1084" s="24">
        <f t="shared" si="33"/>
        <v>650</v>
      </c>
      <c r="K1084" s="24">
        <f t="shared" si="34"/>
        <v>110</v>
      </c>
    </row>
    <row r="1085" spans="1:11">
      <c r="A1085" s="35"/>
      <c r="B1085" s="24">
        <v>9</v>
      </c>
      <c r="C1085" s="23" t="s">
        <v>480</v>
      </c>
      <c r="D1085" s="23" t="s">
        <v>746</v>
      </c>
      <c r="E1085" s="24">
        <v>500</v>
      </c>
      <c r="F1085" s="24"/>
      <c r="G1085" s="24"/>
      <c r="H1085" s="24"/>
      <c r="I1085" s="24"/>
      <c r="J1085" s="24">
        <f t="shared" si="33"/>
        <v>500</v>
      </c>
      <c r="K1085" s="24">
        <f t="shared" si="34"/>
        <v>260</v>
      </c>
    </row>
    <row r="1086" spans="1:11">
      <c r="A1086" s="35"/>
      <c r="B1086" s="24">
        <v>10</v>
      </c>
      <c r="C1086" s="23" t="s">
        <v>650</v>
      </c>
      <c r="D1086" s="23" t="s">
        <v>747</v>
      </c>
      <c r="E1086" s="24"/>
      <c r="F1086" s="24"/>
      <c r="G1086" s="24"/>
      <c r="H1086" s="24"/>
      <c r="I1086" s="24"/>
      <c r="J1086" s="24" t="str">
        <f t="shared" si="33"/>
        <v/>
      </c>
      <c r="K1086" s="24">
        <f t="shared" si="34"/>
        <v>760</v>
      </c>
    </row>
    <row r="1087" spans="1:11">
      <c r="A1087" s="35"/>
      <c r="B1087" s="24">
        <v>11</v>
      </c>
      <c r="C1087" s="23" t="s">
        <v>481</v>
      </c>
      <c r="D1087" s="23" t="s">
        <v>746</v>
      </c>
      <c r="E1087" s="24">
        <v>260</v>
      </c>
      <c r="F1087" s="24"/>
      <c r="G1087" s="24"/>
      <c r="H1087" s="24"/>
      <c r="I1087" s="24"/>
      <c r="J1087" s="24">
        <f t="shared" si="33"/>
        <v>260</v>
      </c>
      <c r="K1087" s="24">
        <f t="shared" si="34"/>
        <v>500</v>
      </c>
    </row>
    <row r="1088" spans="1:11">
      <c r="A1088" s="35"/>
      <c r="B1088" s="24">
        <v>12</v>
      </c>
      <c r="C1088" s="23" t="s">
        <v>482</v>
      </c>
      <c r="D1088" s="23" t="s">
        <v>747</v>
      </c>
      <c r="E1088" s="24"/>
      <c r="F1088" s="24"/>
      <c r="G1088" s="24"/>
      <c r="H1088" s="24"/>
      <c r="I1088" s="24"/>
      <c r="J1088" s="24" t="str">
        <f t="shared" si="33"/>
        <v/>
      </c>
      <c r="K1088" s="24">
        <f t="shared" si="34"/>
        <v>760</v>
      </c>
    </row>
    <row r="1089" spans="1:11">
      <c r="A1089" s="35"/>
      <c r="B1089" s="24">
        <v>13</v>
      </c>
      <c r="C1089" s="23" t="s">
        <v>483</v>
      </c>
      <c r="D1089" s="23" t="s">
        <v>747</v>
      </c>
      <c r="E1089" s="24">
        <v>400</v>
      </c>
      <c r="F1089" s="24"/>
      <c r="G1089" s="24"/>
      <c r="H1089" s="24"/>
      <c r="I1089" s="24"/>
      <c r="J1089" s="24">
        <f t="shared" si="33"/>
        <v>400</v>
      </c>
      <c r="K1089" s="24">
        <f t="shared" si="34"/>
        <v>360</v>
      </c>
    </row>
    <row r="1090" spans="1:11">
      <c r="A1090" s="35"/>
      <c r="B1090" s="24">
        <v>14</v>
      </c>
      <c r="C1090" s="23" t="s">
        <v>484</v>
      </c>
      <c r="D1090" s="23" t="s">
        <v>746</v>
      </c>
      <c r="E1090" s="24">
        <v>400</v>
      </c>
      <c r="F1090" s="24"/>
      <c r="G1090" s="24"/>
      <c r="H1090" s="24"/>
      <c r="I1090" s="24"/>
      <c r="J1090" s="24">
        <f t="shared" si="33"/>
        <v>400</v>
      </c>
      <c r="K1090" s="24">
        <f t="shared" si="34"/>
        <v>360</v>
      </c>
    </row>
    <row r="1091" spans="1:11">
      <c r="A1091" s="35"/>
      <c r="B1091" s="24">
        <v>15</v>
      </c>
      <c r="C1091" s="23" t="s">
        <v>485</v>
      </c>
      <c r="D1091" s="23" t="s">
        <v>746</v>
      </c>
      <c r="E1091" s="24">
        <v>300</v>
      </c>
      <c r="F1091" s="24"/>
      <c r="G1091" s="24"/>
      <c r="H1091" s="24"/>
      <c r="I1091" s="24"/>
      <c r="J1091" s="24">
        <f t="shared" si="33"/>
        <v>300</v>
      </c>
      <c r="K1091" s="24">
        <f t="shared" si="34"/>
        <v>460</v>
      </c>
    </row>
    <row r="1092" spans="1:11">
      <c r="A1092" s="35"/>
      <c r="B1092" s="24">
        <v>16</v>
      </c>
      <c r="C1092" s="23" t="s">
        <v>486</v>
      </c>
      <c r="D1092" s="23" t="s">
        <v>746</v>
      </c>
      <c r="E1092" s="24"/>
      <c r="F1092" s="24"/>
      <c r="G1092" s="24"/>
      <c r="H1092" s="24"/>
      <c r="I1092" s="24"/>
      <c r="J1092" s="24" t="str">
        <f t="shared" si="33"/>
        <v/>
      </c>
      <c r="K1092" s="24">
        <f t="shared" si="34"/>
        <v>760</v>
      </c>
    </row>
    <row r="1093" spans="1:11">
      <c r="A1093" s="35"/>
      <c r="B1093" s="24">
        <v>17</v>
      </c>
      <c r="C1093" s="23" t="s">
        <v>487</v>
      </c>
      <c r="D1093" s="23" t="s">
        <v>747</v>
      </c>
      <c r="E1093" s="24">
        <v>760</v>
      </c>
      <c r="F1093" s="24"/>
      <c r="G1093" s="24"/>
      <c r="H1093" s="24"/>
      <c r="I1093" s="24"/>
      <c r="J1093" s="24">
        <f t="shared" si="33"/>
        <v>760</v>
      </c>
      <c r="K1093" s="24">
        <f t="shared" si="34"/>
        <v>0</v>
      </c>
    </row>
    <row r="1094" spans="1:11">
      <c r="A1094" s="35"/>
      <c r="B1094" s="24">
        <v>18</v>
      </c>
      <c r="C1094" s="23" t="s">
        <v>488</v>
      </c>
      <c r="D1094" s="23" t="s">
        <v>747</v>
      </c>
      <c r="E1094" s="24">
        <v>400</v>
      </c>
      <c r="F1094" s="24">
        <v>360</v>
      </c>
      <c r="G1094" s="24"/>
      <c r="H1094" s="24"/>
      <c r="I1094" s="24"/>
      <c r="J1094" s="24">
        <f t="shared" si="33"/>
        <v>760</v>
      </c>
      <c r="K1094" s="24">
        <f t="shared" si="34"/>
        <v>0</v>
      </c>
    </row>
    <row r="1095" spans="1:11">
      <c r="A1095" s="35"/>
      <c r="B1095" s="24">
        <v>19</v>
      </c>
      <c r="C1095" s="23" t="s">
        <v>489</v>
      </c>
      <c r="D1095" s="23" t="s">
        <v>747</v>
      </c>
      <c r="E1095" s="24">
        <v>220</v>
      </c>
      <c r="F1095" s="24"/>
      <c r="G1095" s="24"/>
      <c r="H1095" s="24"/>
      <c r="I1095" s="24"/>
      <c r="J1095" s="24">
        <f t="shared" si="33"/>
        <v>220</v>
      </c>
      <c r="K1095" s="24">
        <f t="shared" si="34"/>
        <v>540</v>
      </c>
    </row>
    <row r="1096" spans="1:11">
      <c r="A1096" s="35"/>
      <c r="B1096" s="24">
        <v>20</v>
      </c>
      <c r="C1096" s="23" t="s">
        <v>490</v>
      </c>
      <c r="D1096" s="23" t="s">
        <v>746</v>
      </c>
      <c r="E1096" s="24">
        <v>300</v>
      </c>
      <c r="F1096" s="24"/>
      <c r="G1096" s="24"/>
      <c r="H1096" s="24"/>
      <c r="I1096" s="24"/>
      <c r="J1096" s="24">
        <f t="shared" si="33"/>
        <v>300</v>
      </c>
      <c r="K1096" s="24">
        <f t="shared" si="34"/>
        <v>460</v>
      </c>
    </row>
    <row r="1097" spans="1:11">
      <c r="A1097" s="35"/>
      <c r="B1097" s="24">
        <v>21</v>
      </c>
      <c r="C1097" s="23" t="s">
        <v>491</v>
      </c>
      <c r="D1097" s="23" t="s">
        <v>747</v>
      </c>
      <c r="E1097" s="24">
        <v>100</v>
      </c>
      <c r="F1097" s="24">
        <v>100</v>
      </c>
      <c r="G1097" s="24">
        <v>150</v>
      </c>
      <c r="H1097" s="24">
        <v>100</v>
      </c>
      <c r="I1097" s="24">
        <v>100</v>
      </c>
      <c r="J1097" s="24">
        <f t="shared" si="33"/>
        <v>550</v>
      </c>
      <c r="K1097" s="24">
        <f t="shared" si="34"/>
        <v>210</v>
      </c>
    </row>
    <row r="1098" spans="1:11">
      <c r="A1098" s="35"/>
      <c r="B1098" s="24">
        <v>22</v>
      </c>
      <c r="C1098" s="23" t="s">
        <v>703</v>
      </c>
      <c r="D1098" s="23" t="s">
        <v>746</v>
      </c>
      <c r="E1098" s="24">
        <v>300</v>
      </c>
      <c r="F1098" s="24"/>
      <c r="G1098" s="24"/>
      <c r="H1098" s="24"/>
      <c r="I1098" s="24"/>
      <c r="J1098" s="24">
        <f t="shared" si="33"/>
        <v>300</v>
      </c>
      <c r="K1098" s="24">
        <f t="shared" si="34"/>
        <v>460</v>
      </c>
    </row>
    <row r="1099" spans="1:11">
      <c r="A1099" s="35"/>
      <c r="B1099" s="24">
        <v>23</v>
      </c>
      <c r="C1099" s="23" t="s">
        <v>492</v>
      </c>
      <c r="D1099" s="23" t="s">
        <v>747</v>
      </c>
      <c r="E1099" s="24">
        <v>480</v>
      </c>
      <c r="F1099" s="24"/>
      <c r="G1099" s="24"/>
      <c r="H1099" s="24"/>
      <c r="I1099" s="24"/>
      <c r="J1099" s="24">
        <f t="shared" si="33"/>
        <v>480</v>
      </c>
      <c r="K1099" s="24">
        <f t="shared" si="34"/>
        <v>280</v>
      </c>
    </row>
    <row r="1100" spans="1:11">
      <c r="A1100" s="35"/>
      <c r="B1100" s="24">
        <v>24</v>
      </c>
      <c r="C1100" s="23" t="s">
        <v>493</v>
      </c>
      <c r="D1100" s="23" t="s">
        <v>747</v>
      </c>
      <c r="E1100" s="24">
        <v>60</v>
      </c>
      <c r="F1100" s="24">
        <v>200</v>
      </c>
      <c r="G1100" s="24"/>
      <c r="H1100" s="24"/>
      <c r="I1100" s="24"/>
      <c r="J1100" s="24">
        <f t="shared" si="33"/>
        <v>260</v>
      </c>
      <c r="K1100" s="24">
        <f t="shared" si="34"/>
        <v>500</v>
      </c>
    </row>
    <row r="1101" spans="1:11">
      <c r="A1101" s="35"/>
      <c r="B1101" s="24">
        <v>25</v>
      </c>
      <c r="C1101" s="23" t="s">
        <v>494</v>
      </c>
      <c r="D1101" s="23" t="s">
        <v>747</v>
      </c>
      <c r="E1101" s="24">
        <v>760</v>
      </c>
      <c r="F1101" s="24"/>
      <c r="G1101" s="24"/>
      <c r="H1101" s="24"/>
      <c r="I1101" s="24"/>
      <c r="J1101" s="24">
        <f t="shared" si="33"/>
        <v>760</v>
      </c>
      <c r="K1101" s="24">
        <f t="shared" si="34"/>
        <v>0</v>
      </c>
    </row>
    <row r="1102" spans="1:11">
      <c r="A1102" s="35"/>
      <c r="B1102" s="24">
        <v>26</v>
      </c>
      <c r="C1102" s="23" t="s">
        <v>495</v>
      </c>
      <c r="D1102" s="23" t="s">
        <v>746</v>
      </c>
      <c r="E1102" s="24">
        <v>200</v>
      </c>
      <c r="F1102" s="24">
        <v>300</v>
      </c>
      <c r="G1102" s="24"/>
      <c r="H1102" s="24"/>
      <c r="I1102" s="24"/>
      <c r="J1102" s="24">
        <f t="shared" si="33"/>
        <v>500</v>
      </c>
      <c r="K1102" s="24">
        <f t="shared" si="34"/>
        <v>260</v>
      </c>
    </row>
    <row r="1103" spans="1:11">
      <c r="A1103" s="35"/>
      <c r="B1103" s="24">
        <v>27</v>
      </c>
      <c r="C1103" s="23" t="s">
        <v>496</v>
      </c>
      <c r="D1103" s="23" t="s">
        <v>746</v>
      </c>
      <c r="E1103" s="24">
        <v>400</v>
      </c>
      <c r="F1103" s="24"/>
      <c r="G1103" s="24"/>
      <c r="H1103" s="24"/>
      <c r="I1103" s="24"/>
      <c r="J1103" s="24">
        <f t="shared" si="33"/>
        <v>400</v>
      </c>
      <c r="K1103" s="24">
        <f t="shared" si="34"/>
        <v>360</v>
      </c>
    </row>
    <row r="1104" spans="1:11">
      <c r="A1104" s="35"/>
      <c r="B1104" s="24">
        <v>28</v>
      </c>
      <c r="C1104" s="23" t="s">
        <v>615</v>
      </c>
      <c r="D1104" s="23" t="s">
        <v>747</v>
      </c>
      <c r="E1104" s="24">
        <v>400</v>
      </c>
      <c r="F1104" s="24">
        <v>360</v>
      </c>
      <c r="G1104" s="24"/>
      <c r="H1104" s="24"/>
      <c r="I1104" s="24"/>
      <c r="J1104" s="24">
        <f t="shared" si="33"/>
        <v>760</v>
      </c>
      <c r="K1104" s="24">
        <f t="shared" si="34"/>
        <v>0</v>
      </c>
    </row>
    <row r="1105" spans="1:11">
      <c r="A1105" s="35"/>
      <c r="B1105" s="24">
        <v>29</v>
      </c>
      <c r="C1105" s="23" t="s">
        <v>642</v>
      </c>
      <c r="D1105" s="23" t="s">
        <v>747</v>
      </c>
      <c r="E1105" s="24">
        <v>300</v>
      </c>
      <c r="F1105" s="24"/>
      <c r="G1105" s="24"/>
      <c r="H1105" s="24"/>
      <c r="I1105" s="24"/>
      <c r="J1105" s="24">
        <f t="shared" si="33"/>
        <v>300</v>
      </c>
      <c r="K1105" s="24">
        <f t="shared" si="34"/>
        <v>460</v>
      </c>
    </row>
    <row r="1106" spans="1:11">
      <c r="A1106" s="35"/>
      <c r="B1106" s="24">
        <v>30</v>
      </c>
      <c r="C1106" s="23" t="s">
        <v>643</v>
      </c>
      <c r="D1106" s="23" t="s">
        <v>746</v>
      </c>
      <c r="E1106" s="24">
        <v>500</v>
      </c>
      <c r="F1106" s="24"/>
      <c r="G1106" s="24"/>
      <c r="H1106" s="24"/>
      <c r="I1106" s="24"/>
      <c r="J1106" s="24">
        <f t="shared" si="33"/>
        <v>500</v>
      </c>
      <c r="K1106" s="24">
        <f t="shared" si="34"/>
        <v>260</v>
      </c>
    </row>
    <row r="1107" spans="1:11">
      <c r="A1107" s="35"/>
      <c r="B1107" s="24">
        <v>31</v>
      </c>
      <c r="C1107" s="23" t="s">
        <v>497</v>
      </c>
      <c r="D1107" s="23" t="s">
        <v>747</v>
      </c>
      <c r="E1107" s="24">
        <v>460</v>
      </c>
      <c r="F1107" s="24"/>
      <c r="G1107" s="24"/>
      <c r="H1107" s="24"/>
      <c r="I1107" s="24"/>
      <c r="J1107" s="24">
        <f t="shared" si="33"/>
        <v>460</v>
      </c>
      <c r="K1107" s="24">
        <f t="shared" si="34"/>
        <v>300</v>
      </c>
    </row>
    <row r="1108" spans="1:11">
      <c r="A1108" s="35"/>
      <c r="B1108" s="24">
        <v>32</v>
      </c>
      <c r="C1108" s="23" t="s">
        <v>498</v>
      </c>
      <c r="D1108" s="23" t="s">
        <v>746</v>
      </c>
      <c r="E1108" s="24">
        <v>760</v>
      </c>
      <c r="F1108" s="24"/>
      <c r="G1108" s="24"/>
      <c r="H1108" s="24"/>
      <c r="I1108" s="24"/>
      <c r="J1108" s="24">
        <f t="shared" si="33"/>
        <v>760</v>
      </c>
      <c r="K1108" s="24">
        <f t="shared" si="34"/>
        <v>0</v>
      </c>
    </row>
    <row r="1109" spans="1:11">
      <c r="A1109" s="35"/>
      <c r="B1109" s="24">
        <v>33</v>
      </c>
      <c r="C1109" s="23" t="s">
        <v>499</v>
      </c>
      <c r="D1109" s="23" t="s">
        <v>746</v>
      </c>
      <c r="E1109" s="24">
        <v>300</v>
      </c>
      <c r="F1109" s="24">
        <v>200</v>
      </c>
      <c r="G1109" s="24"/>
      <c r="H1109" s="24"/>
      <c r="I1109" s="24"/>
      <c r="J1109" s="24">
        <f t="shared" si="33"/>
        <v>500</v>
      </c>
      <c r="K1109" s="24">
        <f t="shared" si="34"/>
        <v>260</v>
      </c>
    </row>
    <row r="1110" spans="1:11">
      <c r="A1110" s="35"/>
      <c r="B1110" s="24">
        <v>34</v>
      </c>
      <c r="C1110" s="23" t="s">
        <v>500</v>
      </c>
      <c r="D1110" s="23" t="s">
        <v>746</v>
      </c>
      <c r="E1110" s="24">
        <v>250</v>
      </c>
      <c r="F1110" s="24">
        <v>150</v>
      </c>
      <c r="G1110" s="24">
        <v>150</v>
      </c>
      <c r="H1110" s="24"/>
      <c r="I1110" s="24"/>
      <c r="J1110" s="24">
        <f t="shared" si="33"/>
        <v>550</v>
      </c>
      <c r="K1110" s="24">
        <f t="shared" si="34"/>
        <v>210</v>
      </c>
    </row>
    <row r="1111" spans="1:11">
      <c r="A1111" s="35"/>
      <c r="B1111" s="24">
        <v>35</v>
      </c>
      <c r="C1111" s="23" t="s">
        <v>501</v>
      </c>
      <c r="D1111" s="23" t="s">
        <v>746</v>
      </c>
      <c r="E1111" s="24">
        <v>700</v>
      </c>
      <c r="F1111" s="24"/>
      <c r="G1111" s="24"/>
      <c r="H1111" s="24"/>
      <c r="I1111" s="24"/>
      <c r="J1111" s="24">
        <f t="shared" si="33"/>
        <v>700</v>
      </c>
      <c r="K1111" s="24">
        <f t="shared" si="34"/>
        <v>60</v>
      </c>
    </row>
    <row r="1112" spans="1:11">
      <c r="A1112" s="35"/>
      <c r="B1112" s="24">
        <v>36</v>
      </c>
      <c r="C1112" s="23" t="s">
        <v>502</v>
      </c>
      <c r="D1112" s="23" t="s">
        <v>746</v>
      </c>
      <c r="E1112" s="24">
        <v>400</v>
      </c>
      <c r="F1112" s="24"/>
      <c r="G1112" s="24"/>
      <c r="H1112" s="24"/>
      <c r="I1112" s="24"/>
      <c r="J1112" s="24">
        <f t="shared" si="33"/>
        <v>400</v>
      </c>
      <c r="K1112" s="24">
        <f t="shared" si="34"/>
        <v>360</v>
      </c>
    </row>
    <row r="1113" spans="1:11">
      <c r="A1113" s="35"/>
      <c r="B1113" s="24">
        <v>37</v>
      </c>
      <c r="C1113" s="23" t="s">
        <v>503</v>
      </c>
      <c r="D1113" s="23" t="s">
        <v>747</v>
      </c>
      <c r="E1113" s="24">
        <v>180</v>
      </c>
      <c r="F1113" s="24">
        <v>100</v>
      </c>
      <c r="G1113" s="24"/>
      <c r="H1113" s="24"/>
      <c r="I1113" s="24"/>
      <c r="J1113" s="24">
        <f t="shared" si="33"/>
        <v>280</v>
      </c>
      <c r="K1113" s="24">
        <f t="shared" si="34"/>
        <v>480</v>
      </c>
    </row>
    <row r="1114" spans="1:11">
      <c r="A1114" s="35"/>
      <c r="B1114" s="24">
        <v>38</v>
      </c>
      <c r="C1114" s="23"/>
      <c r="D1114" s="23"/>
      <c r="E1114" s="24"/>
      <c r="F1114" s="24"/>
      <c r="G1114" s="24"/>
      <c r="H1114" s="24"/>
      <c r="I1114" s="24"/>
      <c r="J1114" s="24" t="str">
        <f t="shared" si="33"/>
        <v/>
      </c>
      <c r="K1114" s="24">
        <f t="shared" si="34"/>
        <v>760</v>
      </c>
    </row>
    <row r="1115" spans="1:11">
      <c r="A1115" s="35"/>
      <c r="B1115" s="24">
        <v>39</v>
      </c>
      <c r="C1115" s="23"/>
      <c r="D1115" s="23"/>
      <c r="E1115" s="24"/>
      <c r="F1115" s="24"/>
      <c r="G1115" s="24"/>
      <c r="H1115" s="24"/>
      <c r="I1115" s="24"/>
      <c r="J1115" s="24" t="str">
        <f t="shared" si="33"/>
        <v/>
      </c>
      <c r="K1115" s="24">
        <f t="shared" si="34"/>
        <v>760</v>
      </c>
    </row>
    <row r="1116" spans="1:11">
      <c r="A1116" s="35"/>
      <c r="B1116" s="24">
        <v>40</v>
      </c>
      <c r="C1116" s="23"/>
      <c r="D1116" s="23"/>
      <c r="E1116" s="24"/>
      <c r="F1116" s="24"/>
      <c r="G1116" s="24"/>
      <c r="H1116" s="24"/>
      <c r="I1116" s="24"/>
      <c r="J1116" s="24" t="str">
        <f t="shared" si="33"/>
        <v/>
      </c>
      <c r="K1116" s="24">
        <f t="shared" si="34"/>
        <v>760</v>
      </c>
    </row>
    <row r="1117" spans="1:11">
      <c r="A1117" s="35"/>
      <c r="B1117" s="24">
        <v>41</v>
      </c>
      <c r="C1117" s="23"/>
      <c r="D1117" s="23"/>
      <c r="E1117" s="24"/>
      <c r="F1117" s="24"/>
      <c r="G1117" s="24"/>
      <c r="H1117" s="24"/>
      <c r="I1117" s="24"/>
      <c r="J1117" s="24" t="str">
        <f t="shared" si="33"/>
        <v/>
      </c>
      <c r="K1117" s="24">
        <f t="shared" si="34"/>
        <v>760</v>
      </c>
    </row>
    <row r="1118" spans="1:11">
      <c r="A1118" s="35"/>
      <c r="B1118" s="24">
        <v>42</v>
      </c>
      <c r="C1118" s="23"/>
      <c r="D1118" s="23"/>
      <c r="E1118" s="24"/>
      <c r="F1118" s="24"/>
      <c r="G1118" s="24"/>
      <c r="H1118" s="24"/>
      <c r="I1118" s="24"/>
      <c r="J1118" s="24" t="str">
        <f t="shared" si="33"/>
        <v/>
      </c>
      <c r="K1118" s="24">
        <f t="shared" si="34"/>
        <v>760</v>
      </c>
    </row>
    <row r="1119" spans="1:11">
      <c r="A1119" s="35"/>
      <c r="B1119" s="24">
        <v>43</v>
      </c>
      <c r="C1119" s="23"/>
      <c r="D1119" s="23"/>
      <c r="E1119" s="24"/>
      <c r="F1119" s="24"/>
      <c r="G1119" s="24"/>
      <c r="H1119" s="24"/>
      <c r="I1119" s="24"/>
      <c r="J1119" s="24" t="str">
        <f t="shared" si="33"/>
        <v/>
      </c>
      <c r="K1119" s="24">
        <f t="shared" si="34"/>
        <v>760</v>
      </c>
    </row>
    <row r="1120" spans="1:11">
      <c r="A1120" s="35"/>
      <c r="B1120" s="24">
        <v>44</v>
      </c>
      <c r="C1120" s="23"/>
      <c r="D1120" s="23"/>
      <c r="E1120" s="24"/>
      <c r="F1120" s="24"/>
      <c r="G1120" s="24"/>
      <c r="H1120" s="24"/>
      <c r="I1120" s="24"/>
      <c r="J1120" s="24" t="str">
        <f t="shared" si="33"/>
        <v/>
      </c>
      <c r="K1120" s="24">
        <f t="shared" si="34"/>
        <v>760</v>
      </c>
    </row>
    <row r="1121" spans="1:11">
      <c r="A1121" s="35"/>
      <c r="B1121" s="24">
        <v>45</v>
      </c>
      <c r="C1121" s="23"/>
      <c r="D1121" s="23"/>
      <c r="E1121" s="24"/>
      <c r="F1121" s="24"/>
      <c r="G1121" s="24"/>
      <c r="H1121" s="24"/>
      <c r="I1121" s="24"/>
      <c r="J1121" s="24" t="str">
        <f t="shared" si="33"/>
        <v/>
      </c>
      <c r="K1121" s="24">
        <f t="shared" si="34"/>
        <v>760</v>
      </c>
    </row>
    <row r="1122" spans="1:11">
      <c r="A1122" s="35"/>
      <c r="B1122" s="24">
        <v>46</v>
      </c>
      <c r="C1122" s="23"/>
      <c r="D1122" s="23"/>
      <c r="E1122" s="24"/>
      <c r="F1122" s="24"/>
      <c r="G1122" s="24"/>
      <c r="H1122" s="24"/>
      <c r="I1122" s="24"/>
      <c r="J1122" s="24" t="str">
        <f t="shared" si="33"/>
        <v/>
      </c>
      <c r="K1122" s="24">
        <f t="shared" si="34"/>
        <v>760</v>
      </c>
    </row>
    <row r="1123" spans="1:11">
      <c r="A1123" s="35"/>
      <c r="B1123" s="24">
        <v>47</v>
      </c>
      <c r="C1123" s="23"/>
      <c r="D1123" s="23"/>
      <c r="E1123" s="24"/>
      <c r="F1123" s="24"/>
      <c r="G1123" s="24"/>
      <c r="H1123" s="24"/>
      <c r="I1123" s="24"/>
      <c r="J1123" s="24" t="str">
        <f t="shared" si="33"/>
        <v/>
      </c>
      <c r="K1123" s="24">
        <f t="shared" si="34"/>
        <v>760</v>
      </c>
    </row>
    <row r="1124" spans="1:11">
      <c r="A1124" s="35"/>
      <c r="B1124" s="24">
        <v>48</v>
      </c>
      <c r="C1124" s="23"/>
      <c r="D1124" s="23"/>
      <c r="E1124" s="24"/>
      <c r="F1124" s="24"/>
      <c r="G1124" s="24"/>
      <c r="H1124" s="24"/>
      <c r="I1124" s="24"/>
      <c r="J1124" s="24" t="str">
        <f t="shared" si="33"/>
        <v/>
      </c>
      <c r="K1124" s="24">
        <f t="shared" si="34"/>
        <v>760</v>
      </c>
    </row>
    <row r="1125" spans="1:11">
      <c r="A1125" s="35"/>
      <c r="B1125" s="24">
        <v>49</v>
      </c>
      <c r="C1125" s="23"/>
      <c r="D1125" s="23"/>
      <c r="E1125" s="24"/>
      <c r="F1125" s="24"/>
      <c r="G1125" s="24"/>
      <c r="H1125" s="24"/>
      <c r="I1125" s="24"/>
      <c r="J1125" s="24" t="str">
        <f t="shared" si="33"/>
        <v/>
      </c>
      <c r="K1125" s="24">
        <f t="shared" si="34"/>
        <v>760</v>
      </c>
    </row>
    <row r="1126" spans="1:11">
      <c r="A1126" s="35"/>
      <c r="B1126" s="24">
        <v>50</v>
      </c>
      <c r="C1126" s="23"/>
      <c r="D1126" s="23"/>
      <c r="E1126" s="24"/>
      <c r="F1126" s="24"/>
      <c r="G1126" s="24"/>
      <c r="H1126" s="24"/>
      <c r="I1126" s="24"/>
      <c r="J1126" s="24" t="str">
        <f t="shared" si="33"/>
        <v/>
      </c>
      <c r="K1126" s="24">
        <f t="shared" si="34"/>
        <v>760</v>
      </c>
    </row>
    <row r="1127" spans="1:11">
      <c r="A1127" s="35"/>
      <c r="B1127" s="24">
        <v>51</v>
      </c>
      <c r="C1127" s="23"/>
      <c r="D1127" s="23"/>
      <c r="E1127" s="24"/>
      <c r="F1127" s="24"/>
      <c r="G1127" s="24"/>
      <c r="H1127" s="24"/>
      <c r="I1127" s="24"/>
      <c r="J1127" s="24" t="str">
        <f t="shared" si="33"/>
        <v/>
      </c>
      <c r="K1127" s="24">
        <f t="shared" si="34"/>
        <v>760</v>
      </c>
    </row>
    <row r="1128" spans="1:11">
      <c r="A1128" s="35"/>
      <c r="B1128" s="24">
        <v>52</v>
      </c>
      <c r="C1128" s="23"/>
      <c r="D1128" s="23"/>
      <c r="E1128" s="24"/>
      <c r="F1128" s="24"/>
      <c r="G1128" s="24"/>
      <c r="H1128" s="24"/>
      <c r="I1128" s="24"/>
      <c r="J1128" s="24" t="str">
        <f t="shared" si="33"/>
        <v/>
      </c>
      <c r="K1128" s="24">
        <f t="shared" si="34"/>
        <v>760</v>
      </c>
    </row>
    <row r="1129" spans="1:11">
      <c r="A1129" s="35"/>
      <c r="B1129" s="24">
        <v>53</v>
      </c>
      <c r="C1129" s="23"/>
      <c r="D1129" s="23"/>
      <c r="E1129" s="24"/>
      <c r="F1129" s="24"/>
      <c r="G1129" s="24"/>
      <c r="H1129" s="24"/>
      <c r="I1129" s="24"/>
      <c r="J1129" s="24" t="str">
        <f t="shared" si="33"/>
        <v/>
      </c>
      <c r="K1129" s="24">
        <f t="shared" si="34"/>
        <v>760</v>
      </c>
    </row>
    <row r="1130" spans="1:11">
      <c r="A1130" s="35"/>
      <c r="B1130" s="24">
        <v>54</v>
      </c>
      <c r="C1130" s="23"/>
      <c r="D1130" s="23"/>
      <c r="E1130" s="24"/>
      <c r="F1130" s="24"/>
      <c r="G1130" s="24"/>
      <c r="H1130" s="24"/>
      <c r="I1130" s="24"/>
      <c r="J1130" s="24" t="str">
        <f t="shared" si="33"/>
        <v/>
      </c>
      <c r="K1130" s="24">
        <f t="shared" si="34"/>
        <v>760</v>
      </c>
    </row>
    <row r="1131" spans="1:11">
      <c r="A1131" s="35"/>
      <c r="B1131" s="24">
        <v>55</v>
      </c>
      <c r="C1131" s="23"/>
      <c r="D1131" s="23"/>
      <c r="E1131" s="24"/>
      <c r="F1131" s="24"/>
      <c r="G1131" s="24"/>
      <c r="H1131" s="24"/>
      <c r="I1131" s="24"/>
      <c r="J1131" s="24" t="str">
        <f t="shared" si="33"/>
        <v/>
      </c>
      <c r="K1131" s="24">
        <f t="shared" si="34"/>
        <v>760</v>
      </c>
    </row>
    <row r="1132" spans="1:11">
      <c r="A1132" s="35"/>
      <c r="B1132" s="24">
        <v>56</v>
      </c>
      <c r="C1132" s="23"/>
      <c r="D1132" s="23"/>
      <c r="E1132" s="24"/>
      <c r="F1132" s="24"/>
      <c r="G1132" s="24"/>
      <c r="H1132" s="24"/>
      <c r="I1132" s="24"/>
      <c r="J1132" s="24" t="str">
        <f t="shared" si="33"/>
        <v/>
      </c>
      <c r="K1132" s="24">
        <f t="shared" si="34"/>
        <v>760</v>
      </c>
    </row>
    <row r="1133" spans="1:11">
      <c r="A1133" s="35"/>
      <c r="B1133" s="24">
        <v>57</v>
      </c>
      <c r="C1133" s="23"/>
      <c r="D1133" s="23"/>
      <c r="E1133" s="24"/>
      <c r="F1133" s="24"/>
      <c r="G1133" s="24"/>
      <c r="H1133" s="24"/>
      <c r="I1133" s="24"/>
      <c r="J1133" s="24" t="str">
        <f t="shared" si="33"/>
        <v/>
      </c>
      <c r="K1133" s="24">
        <f t="shared" si="34"/>
        <v>760</v>
      </c>
    </row>
    <row r="1134" spans="1:11">
      <c r="A1134" s="35"/>
      <c r="B1134" s="24">
        <v>58</v>
      </c>
      <c r="C1134" s="23"/>
      <c r="D1134" s="23"/>
      <c r="E1134" s="24"/>
      <c r="F1134" s="24"/>
      <c r="G1134" s="24"/>
      <c r="H1134" s="24"/>
      <c r="I1134" s="24"/>
      <c r="J1134" s="24" t="str">
        <f t="shared" si="33"/>
        <v/>
      </c>
      <c r="K1134" s="24">
        <f t="shared" si="34"/>
        <v>760</v>
      </c>
    </row>
    <row r="1135" spans="1:11">
      <c r="A1135" s="35"/>
      <c r="B1135" s="24">
        <v>59</v>
      </c>
      <c r="C1135" s="23"/>
      <c r="D1135" s="23"/>
      <c r="E1135" s="24"/>
      <c r="F1135" s="24"/>
      <c r="G1135" s="24"/>
      <c r="H1135" s="24"/>
      <c r="I1135" s="24"/>
      <c r="J1135" s="24" t="str">
        <f t="shared" si="33"/>
        <v/>
      </c>
      <c r="K1135" s="24">
        <f t="shared" si="34"/>
        <v>760</v>
      </c>
    </row>
    <row r="1136" spans="1:11">
      <c r="A1136" s="35"/>
      <c r="B1136" s="24">
        <v>60</v>
      </c>
      <c r="C1136" s="23"/>
      <c r="D1136" s="23"/>
      <c r="E1136" s="24"/>
      <c r="F1136" s="24"/>
      <c r="G1136" s="24"/>
      <c r="H1136" s="24"/>
      <c r="I1136" s="24"/>
      <c r="J1136" s="24" t="str">
        <f t="shared" si="33"/>
        <v/>
      </c>
      <c r="K1136" s="24">
        <f t="shared" si="34"/>
        <v>760</v>
      </c>
    </row>
    <row r="1137" spans="1:11">
      <c r="A1137" s="35"/>
      <c r="B1137" s="34"/>
      <c r="C1137" s="34"/>
      <c r="D1137" s="34"/>
      <c r="E1137" s="34"/>
      <c r="F1137" s="34"/>
      <c r="G1137" s="34"/>
      <c r="H1137" s="34"/>
      <c r="I1137" s="33" t="s">
        <v>31</v>
      </c>
      <c r="J1137" s="33"/>
      <c r="K1137" s="24">
        <f>SUM(K1077:K1136)</f>
        <v>30980</v>
      </c>
    </row>
    <row r="1138" spans="1:11">
      <c r="I1138" s="27"/>
      <c r="J1138" s="27"/>
      <c r="K1138" s="24"/>
    </row>
    <row r="1139" spans="1:11">
      <c r="I1139" s="27"/>
      <c r="J1139" s="27"/>
      <c r="K1139" s="24"/>
    </row>
    <row r="1141" spans="1:11">
      <c r="A1141" s="23">
        <v>18</v>
      </c>
      <c r="B1141" s="23" t="s">
        <v>0</v>
      </c>
      <c r="C1141" s="28" t="str">
        <f>IF('Navigation and Summary'!$B$26="", "", 'Navigation and Summary'!$B$26)</f>
        <v>BASIC 7A</v>
      </c>
      <c r="D1141" s="28"/>
      <c r="E1141" s="23" t="s">
        <v>37</v>
      </c>
      <c r="F1141" s="24">
        <f>IF('Navigation and Summary'!$C$26="", "", 'Navigation and Summary'!$C$26)</f>
        <v>980</v>
      </c>
      <c r="G1141" s="23" t="s">
        <v>34</v>
      </c>
      <c r="H1141" s="24" t="str">
        <f>IF(C1141="", "", 'Navigation and Summary'!$G$6)</f>
        <v>2025-26</v>
      </c>
    </row>
    <row r="1142" spans="1:11">
      <c r="A1142" s="35"/>
      <c r="B1142" s="35" t="s">
        <v>32</v>
      </c>
      <c r="C1142" s="35"/>
      <c r="D1142" s="35"/>
      <c r="E1142" s="35"/>
      <c r="F1142" s="35"/>
      <c r="G1142" s="35"/>
      <c r="H1142" s="35"/>
      <c r="I1142" s="23"/>
      <c r="J1142" s="23"/>
      <c r="K1142" s="23"/>
    </row>
    <row r="1143" spans="1:11" ht="28.5">
      <c r="A1143" s="35"/>
      <c r="B1143" s="25" t="s">
        <v>1</v>
      </c>
      <c r="C1143" s="25" t="s">
        <v>2</v>
      </c>
      <c r="D1143" s="25" t="s">
        <v>745</v>
      </c>
      <c r="E1143" s="25" t="s">
        <v>3</v>
      </c>
      <c r="F1143" s="25" t="s">
        <v>4</v>
      </c>
      <c r="G1143" s="25" t="s">
        <v>5</v>
      </c>
      <c r="H1143" s="25" t="s">
        <v>6</v>
      </c>
      <c r="I1143" s="25" t="s">
        <v>7</v>
      </c>
      <c r="J1143" s="25" t="s">
        <v>8</v>
      </c>
      <c r="K1143" s="25" t="s">
        <v>9</v>
      </c>
    </row>
    <row r="1144" spans="1:11">
      <c r="A1144" s="35"/>
      <c r="B1144" s="24">
        <v>1</v>
      </c>
      <c r="C1144" s="23" t="s">
        <v>529</v>
      </c>
      <c r="D1144" s="23" t="s">
        <v>746</v>
      </c>
      <c r="E1144" s="24">
        <v>500</v>
      </c>
      <c r="F1144" s="24"/>
      <c r="G1144" s="24"/>
      <c r="H1144" s="24"/>
      <c r="I1144" s="24"/>
      <c r="J1144" s="24">
        <f>IF(SUM(E1144:I1144)=0, "", SUM(E1144:I1144))</f>
        <v>500</v>
      </c>
      <c r="K1144" s="24">
        <f xml:space="preserve"> IFERROR(IF(($F$1141-J1144)=0, 0, ($F$1141-J1144)),$F$1141)</f>
        <v>480</v>
      </c>
    </row>
    <row r="1145" spans="1:11">
      <c r="A1145" s="35"/>
      <c r="B1145" s="24">
        <v>2</v>
      </c>
      <c r="C1145" s="23" t="s">
        <v>530</v>
      </c>
      <c r="D1145" s="23" t="s">
        <v>747</v>
      </c>
      <c r="E1145" s="24">
        <v>500</v>
      </c>
      <c r="F1145" s="24">
        <v>340</v>
      </c>
      <c r="G1145" s="24">
        <v>140</v>
      </c>
      <c r="H1145" s="24"/>
      <c r="I1145" s="24"/>
      <c r="J1145" s="24">
        <f t="shared" ref="J1145:J1203" si="35">IF(SUM(E1145:I1145)=0, "", SUM(E1145:I1145))</f>
        <v>980</v>
      </c>
      <c r="K1145" s="24">
        <f t="shared" ref="K1145:K1203" si="36" xml:space="preserve"> IFERROR(IF(($F$1141-J1145)=0, 0, ($F$1141-J1145)),$F$1141)</f>
        <v>0</v>
      </c>
    </row>
    <row r="1146" spans="1:11">
      <c r="A1146" s="35"/>
      <c r="B1146" s="24">
        <v>3</v>
      </c>
      <c r="C1146" s="23" t="s">
        <v>531</v>
      </c>
      <c r="D1146" s="23" t="s">
        <v>747</v>
      </c>
      <c r="E1146" s="24">
        <v>450</v>
      </c>
      <c r="F1146" s="24"/>
      <c r="G1146" s="24"/>
      <c r="H1146" s="24"/>
      <c r="I1146" s="24"/>
      <c r="J1146" s="24">
        <f t="shared" si="35"/>
        <v>450</v>
      </c>
      <c r="K1146" s="24">
        <f t="shared" si="36"/>
        <v>530</v>
      </c>
    </row>
    <row r="1147" spans="1:11">
      <c r="A1147" s="35"/>
      <c r="B1147" s="24">
        <v>4</v>
      </c>
      <c r="C1147" s="23" t="s">
        <v>532</v>
      </c>
      <c r="D1147" s="23" t="s">
        <v>746</v>
      </c>
      <c r="E1147" s="24">
        <v>980</v>
      </c>
      <c r="F1147" s="24"/>
      <c r="G1147" s="24"/>
      <c r="H1147" s="24"/>
      <c r="I1147" s="24"/>
      <c r="J1147" s="24">
        <f t="shared" si="35"/>
        <v>980</v>
      </c>
      <c r="K1147" s="24">
        <f t="shared" si="36"/>
        <v>0</v>
      </c>
    </row>
    <row r="1148" spans="1:11">
      <c r="A1148" s="35"/>
      <c r="B1148" s="24">
        <v>5</v>
      </c>
      <c r="C1148" s="23" t="s">
        <v>506</v>
      </c>
      <c r="D1148" s="23" t="s">
        <v>747</v>
      </c>
      <c r="E1148" s="24">
        <v>900</v>
      </c>
      <c r="F1148" s="24"/>
      <c r="G1148" s="24"/>
      <c r="H1148" s="24"/>
      <c r="I1148" s="24"/>
      <c r="J1148" s="24">
        <f t="shared" si="35"/>
        <v>900</v>
      </c>
      <c r="K1148" s="24">
        <f t="shared" si="36"/>
        <v>80</v>
      </c>
    </row>
    <row r="1149" spans="1:11">
      <c r="A1149" s="35"/>
      <c r="B1149" s="24">
        <v>6</v>
      </c>
      <c r="C1149" s="23" t="s">
        <v>534</v>
      </c>
      <c r="D1149" s="23" t="s">
        <v>747</v>
      </c>
      <c r="E1149" s="24">
        <v>200</v>
      </c>
      <c r="F1149" s="24">
        <v>100</v>
      </c>
      <c r="G1149" s="24"/>
      <c r="H1149" s="24"/>
      <c r="I1149" s="24"/>
      <c r="J1149" s="24">
        <f t="shared" si="35"/>
        <v>300</v>
      </c>
      <c r="K1149" s="24">
        <f t="shared" si="36"/>
        <v>680</v>
      </c>
    </row>
    <row r="1150" spans="1:11">
      <c r="A1150" s="35"/>
      <c r="B1150" s="24">
        <v>7</v>
      </c>
      <c r="C1150" s="23" t="s">
        <v>507</v>
      </c>
      <c r="D1150" s="23" t="s">
        <v>747</v>
      </c>
      <c r="E1150" s="24">
        <v>200</v>
      </c>
      <c r="F1150" s="24"/>
      <c r="G1150" s="24"/>
      <c r="H1150" s="24"/>
      <c r="I1150" s="24"/>
      <c r="J1150" s="24">
        <f t="shared" si="35"/>
        <v>200</v>
      </c>
      <c r="K1150" s="24">
        <f t="shared" si="36"/>
        <v>780</v>
      </c>
    </row>
    <row r="1151" spans="1:11">
      <c r="A1151" s="35"/>
      <c r="B1151" s="24">
        <v>8</v>
      </c>
      <c r="C1151" s="23" t="s">
        <v>508</v>
      </c>
      <c r="D1151" s="23" t="s">
        <v>747</v>
      </c>
      <c r="E1151" s="24">
        <v>400</v>
      </c>
      <c r="F1151" s="24">
        <v>500</v>
      </c>
      <c r="G1151" s="24"/>
      <c r="H1151" s="24"/>
      <c r="I1151" s="24"/>
      <c r="J1151" s="24">
        <f t="shared" si="35"/>
        <v>900</v>
      </c>
      <c r="K1151" s="24">
        <f t="shared" si="36"/>
        <v>80</v>
      </c>
    </row>
    <row r="1152" spans="1:11">
      <c r="A1152" s="35"/>
      <c r="B1152" s="24">
        <v>9</v>
      </c>
      <c r="C1152" s="23" t="s">
        <v>509</v>
      </c>
      <c r="D1152" s="23" t="s">
        <v>747</v>
      </c>
      <c r="E1152" s="24">
        <v>500</v>
      </c>
      <c r="F1152" s="24"/>
      <c r="G1152" s="24"/>
      <c r="H1152" s="24"/>
      <c r="I1152" s="24"/>
      <c r="J1152" s="24">
        <f t="shared" si="35"/>
        <v>500</v>
      </c>
      <c r="K1152" s="24">
        <f t="shared" si="36"/>
        <v>480</v>
      </c>
    </row>
    <row r="1153" spans="1:11">
      <c r="A1153" s="35"/>
      <c r="B1153" s="24">
        <v>10</v>
      </c>
      <c r="C1153" s="23" t="s">
        <v>692</v>
      </c>
      <c r="D1153" s="23" t="s">
        <v>747</v>
      </c>
      <c r="E1153" s="24">
        <v>980</v>
      </c>
      <c r="F1153" s="24"/>
      <c r="G1153" s="24"/>
      <c r="H1153" s="24"/>
      <c r="I1153" s="24"/>
      <c r="J1153" s="24">
        <f t="shared" si="35"/>
        <v>980</v>
      </c>
      <c r="K1153" s="24">
        <f t="shared" si="36"/>
        <v>0</v>
      </c>
    </row>
    <row r="1154" spans="1:11">
      <c r="A1154" s="35"/>
      <c r="B1154" s="24">
        <v>11</v>
      </c>
      <c r="C1154" s="23" t="s">
        <v>512</v>
      </c>
      <c r="D1154" s="23" t="s">
        <v>746</v>
      </c>
      <c r="E1154" s="24">
        <v>400</v>
      </c>
      <c r="F1154" s="24"/>
      <c r="G1154" s="24"/>
      <c r="H1154" s="24"/>
      <c r="I1154" s="24"/>
      <c r="J1154" s="24">
        <f t="shared" si="35"/>
        <v>400</v>
      </c>
      <c r="K1154" s="24">
        <f t="shared" si="36"/>
        <v>580</v>
      </c>
    </row>
    <row r="1155" spans="1:11">
      <c r="A1155" s="35"/>
      <c r="B1155" s="24">
        <v>12</v>
      </c>
      <c r="C1155" s="23" t="s">
        <v>513</v>
      </c>
      <c r="D1155" s="23" t="s">
        <v>747</v>
      </c>
      <c r="E1155" s="24"/>
      <c r="F1155" s="24"/>
      <c r="G1155" s="24"/>
      <c r="H1155" s="24"/>
      <c r="I1155" s="24"/>
      <c r="J1155" s="24" t="str">
        <f t="shared" si="35"/>
        <v/>
      </c>
      <c r="K1155" s="24">
        <f t="shared" si="36"/>
        <v>980</v>
      </c>
    </row>
    <row r="1156" spans="1:11">
      <c r="A1156" s="35"/>
      <c r="B1156" s="24">
        <v>13</v>
      </c>
      <c r="C1156" s="23" t="s">
        <v>634</v>
      </c>
      <c r="D1156" s="23" t="s">
        <v>746</v>
      </c>
      <c r="E1156" s="24">
        <v>480</v>
      </c>
      <c r="F1156" s="24">
        <v>500</v>
      </c>
      <c r="G1156" s="24"/>
      <c r="H1156" s="24"/>
      <c r="I1156" s="24"/>
      <c r="J1156" s="24">
        <f t="shared" si="35"/>
        <v>980</v>
      </c>
      <c r="K1156" s="24">
        <f t="shared" si="36"/>
        <v>0</v>
      </c>
    </row>
    <row r="1157" spans="1:11">
      <c r="A1157" s="35"/>
      <c r="B1157" s="24">
        <v>14</v>
      </c>
      <c r="C1157" s="23"/>
      <c r="D1157" s="23"/>
      <c r="E1157" s="24"/>
      <c r="F1157" s="24"/>
      <c r="G1157" s="24"/>
      <c r="H1157" s="24"/>
      <c r="I1157" s="24"/>
      <c r="J1157" s="24" t="str">
        <f t="shared" si="35"/>
        <v/>
      </c>
      <c r="K1157" s="24">
        <f t="shared" si="36"/>
        <v>980</v>
      </c>
    </row>
    <row r="1158" spans="1:11">
      <c r="A1158" s="35"/>
      <c r="B1158" s="24">
        <v>15</v>
      </c>
      <c r="C1158" s="23" t="s">
        <v>514</v>
      </c>
      <c r="D1158" s="23" t="s">
        <v>746</v>
      </c>
      <c r="E1158" s="24">
        <v>470</v>
      </c>
      <c r="F1158" s="24"/>
      <c r="G1158" s="24"/>
      <c r="H1158" s="24"/>
      <c r="I1158" s="24"/>
      <c r="J1158" s="24">
        <f t="shared" si="35"/>
        <v>470</v>
      </c>
      <c r="K1158" s="24">
        <f t="shared" si="36"/>
        <v>510</v>
      </c>
    </row>
    <row r="1159" spans="1:11">
      <c r="A1159" s="35"/>
      <c r="B1159" s="24">
        <v>16</v>
      </c>
      <c r="C1159" s="23" t="s">
        <v>539</v>
      </c>
      <c r="D1159" s="23" t="s">
        <v>747</v>
      </c>
      <c r="E1159" s="24">
        <v>500</v>
      </c>
      <c r="F1159" s="24"/>
      <c r="G1159" s="24"/>
      <c r="H1159" s="24"/>
      <c r="I1159" s="24"/>
      <c r="J1159" s="24">
        <f t="shared" si="35"/>
        <v>500</v>
      </c>
      <c r="K1159" s="24">
        <f t="shared" si="36"/>
        <v>480</v>
      </c>
    </row>
    <row r="1160" spans="1:11">
      <c r="A1160" s="35"/>
      <c r="B1160" s="24">
        <v>17</v>
      </c>
      <c r="C1160" s="23" t="s">
        <v>515</v>
      </c>
      <c r="D1160" s="23" t="s">
        <v>747</v>
      </c>
      <c r="E1160" s="24">
        <v>750</v>
      </c>
      <c r="F1160" s="24"/>
      <c r="G1160" s="24"/>
      <c r="H1160" s="24"/>
      <c r="I1160" s="24"/>
      <c r="J1160" s="24">
        <f t="shared" si="35"/>
        <v>750</v>
      </c>
      <c r="K1160" s="24">
        <f t="shared" si="36"/>
        <v>230</v>
      </c>
    </row>
    <row r="1161" spans="1:11">
      <c r="A1161" s="35"/>
      <c r="B1161" s="24">
        <v>18</v>
      </c>
      <c r="C1161" s="23"/>
      <c r="D1161" s="23"/>
      <c r="E1161" s="24"/>
      <c r="F1161" s="24"/>
      <c r="G1161" s="24"/>
      <c r="H1161" s="24"/>
      <c r="I1161" s="24"/>
      <c r="J1161" s="24" t="str">
        <f t="shared" si="35"/>
        <v/>
      </c>
      <c r="K1161" s="24">
        <f t="shared" si="36"/>
        <v>980</v>
      </c>
    </row>
    <row r="1162" spans="1:11">
      <c r="A1162" s="35"/>
      <c r="B1162" s="24">
        <v>19</v>
      </c>
      <c r="C1162" s="23" t="s">
        <v>542</v>
      </c>
      <c r="D1162" s="23" t="s">
        <v>746</v>
      </c>
      <c r="E1162" s="24">
        <v>400</v>
      </c>
      <c r="F1162" s="24"/>
      <c r="G1162" s="24"/>
      <c r="H1162" s="24"/>
      <c r="I1162" s="24"/>
      <c r="J1162" s="24">
        <f t="shared" si="35"/>
        <v>400</v>
      </c>
      <c r="K1162" s="24">
        <f t="shared" si="36"/>
        <v>580</v>
      </c>
    </row>
    <row r="1163" spans="1:11">
      <c r="A1163" s="35"/>
      <c r="B1163" s="24">
        <v>20</v>
      </c>
      <c r="C1163" s="23" t="s">
        <v>543</v>
      </c>
      <c r="D1163" s="23" t="s">
        <v>747</v>
      </c>
      <c r="E1163" s="24">
        <v>980</v>
      </c>
      <c r="F1163" s="24"/>
      <c r="G1163" s="24"/>
      <c r="H1163" s="24"/>
      <c r="I1163" s="24"/>
      <c r="J1163" s="24">
        <f t="shared" si="35"/>
        <v>980</v>
      </c>
      <c r="K1163" s="24">
        <f t="shared" si="36"/>
        <v>0</v>
      </c>
    </row>
    <row r="1164" spans="1:11">
      <c r="A1164" s="35"/>
      <c r="B1164" s="24">
        <v>21</v>
      </c>
      <c r="C1164" s="23" t="s">
        <v>546</v>
      </c>
      <c r="D1164" s="23" t="s">
        <v>747</v>
      </c>
      <c r="E1164" s="24">
        <v>300</v>
      </c>
      <c r="F1164" s="24"/>
      <c r="G1164" s="24"/>
      <c r="H1164" s="24"/>
      <c r="I1164" s="24"/>
      <c r="J1164" s="24">
        <f t="shared" si="35"/>
        <v>300</v>
      </c>
      <c r="K1164" s="24">
        <f t="shared" si="36"/>
        <v>680</v>
      </c>
    </row>
    <row r="1165" spans="1:11">
      <c r="A1165" s="35"/>
      <c r="B1165" s="24">
        <v>22</v>
      </c>
      <c r="C1165" s="23" t="s">
        <v>549</v>
      </c>
      <c r="D1165" s="23" t="s">
        <v>747</v>
      </c>
      <c r="E1165" s="24">
        <v>300</v>
      </c>
      <c r="F1165" s="24"/>
      <c r="G1165" s="24"/>
      <c r="H1165" s="24"/>
      <c r="I1165" s="24"/>
      <c r="J1165" s="24">
        <f t="shared" si="35"/>
        <v>300</v>
      </c>
      <c r="K1165" s="24">
        <f t="shared" si="36"/>
        <v>680</v>
      </c>
    </row>
    <row r="1166" spans="1:11">
      <c r="A1166" s="35"/>
      <c r="B1166" s="24">
        <v>23</v>
      </c>
      <c r="C1166" s="23" t="s">
        <v>520</v>
      </c>
      <c r="D1166" s="23" t="s">
        <v>746</v>
      </c>
      <c r="E1166" s="24">
        <v>250</v>
      </c>
      <c r="F1166" s="24"/>
      <c r="G1166" s="24"/>
      <c r="H1166" s="24"/>
      <c r="I1166" s="24"/>
      <c r="J1166" s="24">
        <f t="shared" si="35"/>
        <v>250</v>
      </c>
      <c r="K1166" s="24">
        <f t="shared" si="36"/>
        <v>730</v>
      </c>
    </row>
    <row r="1167" spans="1:11">
      <c r="A1167" s="35"/>
      <c r="B1167" s="24">
        <v>24</v>
      </c>
      <c r="C1167" s="23" t="s">
        <v>521</v>
      </c>
      <c r="D1167" s="23" t="s">
        <v>747</v>
      </c>
      <c r="E1167" s="24"/>
      <c r="F1167" s="24"/>
      <c r="G1167" s="24"/>
      <c r="H1167" s="24"/>
      <c r="I1167" s="24"/>
      <c r="J1167" s="24" t="str">
        <f t="shared" si="35"/>
        <v/>
      </c>
      <c r="K1167" s="24">
        <f t="shared" si="36"/>
        <v>980</v>
      </c>
    </row>
    <row r="1168" spans="1:11">
      <c r="A1168" s="35"/>
      <c r="B1168" s="24">
        <v>25</v>
      </c>
      <c r="C1168" s="23"/>
      <c r="D1168" s="23"/>
      <c r="E1168" s="24"/>
      <c r="F1168" s="24"/>
      <c r="G1168" s="24"/>
      <c r="H1168" s="24"/>
      <c r="I1168" s="24"/>
      <c r="J1168" s="24" t="str">
        <f t="shared" si="35"/>
        <v/>
      </c>
      <c r="K1168" s="24">
        <f t="shared" si="36"/>
        <v>980</v>
      </c>
    </row>
    <row r="1169" spans="1:11">
      <c r="A1169" s="35"/>
      <c r="B1169" s="24">
        <v>26</v>
      </c>
      <c r="C1169" s="23" t="s">
        <v>522</v>
      </c>
      <c r="D1169" s="23" t="s">
        <v>747</v>
      </c>
      <c r="E1169" s="24">
        <v>500</v>
      </c>
      <c r="F1169" s="24"/>
      <c r="G1169" s="24"/>
      <c r="H1169" s="24"/>
      <c r="I1169" s="24"/>
      <c r="J1169" s="24">
        <f t="shared" si="35"/>
        <v>500</v>
      </c>
      <c r="K1169" s="24">
        <f t="shared" si="36"/>
        <v>480</v>
      </c>
    </row>
    <row r="1170" spans="1:11">
      <c r="A1170" s="35"/>
      <c r="B1170" s="24">
        <v>27</v>
      </c>
      <c r="C1170" s="23" t="s">
        <v>523</v>
      </c>
      <c r="D1170" s="23" t="s">
        <v>746</v>
      </c>
      <c r="E1170" s="24">
        <v>200</v>
      </c>
      <c r="F1170" s="24">
        <v>200</v>
      </c>
      <c r="G1170" s="24">
        <v>200</v>
      </c>
      <c r="H1170" s="24"/>
      <c r="I1170" s="24"/>
      <c r="J1170" s="24">
        <f t="shared" si="35"/>
        <v>600</v>
      </c>
      <c r="K1170" s="24">
        <f t="shared" si="36"/>
        <v>380</v>
      </c>
    </row>
    <row r="1171" spans="1:11">
      <c r="A1171" s="35"/>
      <c r="B1171" s="24">
        <v>28</v>
      </c>
      <c r="C1171" s="23" t="s">
        <v>524</v>
      </c>
      <c r="D1171" s="23" t="s">
        <v>747</v>
      </c>
      <c r="E1171" s="24">
        <v>30</v>
      </c>
      <c r="F1171" s="24">
        <v>760</v>
      </c>
      <c r="G1171" s="24"/>
      <c r="H1171" s="24"/>
      <c r="I1171" s="24"/>
      <c r="J1171" s="24">
        <f t="shared" si="35"/>
        <v>790</v>
      </c>
      <c r="K1171" s="24">
        <f t="shared" si="36"/>
        <v>190</v>
      </c>
    </row>
    <row r="1172" spans="1:11">
      <c r="A1172" s="35"/>
      <c r="B1172" s="24">
        <v>29</v>
      </c>
      <c r="C1172" s="23" t="s">
        <v>551</v>
      </c>
      <c r="D1172" s="23" t="s">
        <v>746</v>
      </c>
      <c r="E1172" s="24">
        <v>200</v>
      </c>
      <c r="F1172" s="24">
        <v>100</v>
      </c>
      <c r="G1172" s="24"/>
      <c r="H1172" s="24"/>
      <c r="I1172" s="24"/>
      <c r="J1172" s="24">
        <f t="shared" si="35"/>
        <v>300</v>
      </c>
      <c r="K1172" s="24">
        <f t="shared" si="36"/>
        <v>680</v>
      </c>
    </row>
    <row r="1173" spans="1:11">
      <c r="A1173" s="35"/>
      <c r="B1173" s="24">
        <v>30</v>
      </c>
      <c r="C1173" s="23" t="s">
        <v>526</v>
      </c>
      <c r="D1173" s="23" t="s">
        <v>746</v>
      </c>
      <c r="E1173" s="24">
        <v>500</v>
      </c>
      <c r="F1173" s="24"/>
      <c r="G1173" s="24"/>
      <c r="H1173" s="24"/>
      <c r="I1173" s="24"/>
      <c r="J1173" s="24">
        <f t="shared" si="35"/>
        <v>500</v>
      </c>
      <c r="K1173" s="24">
        <f t="shared" si="36"/>
        <v>480</v>
      </c>
    </row>
    <row r="1174" spans="1:11">
      <c r="A1174" s="35"/>
      <c r="B1174" s="24">
        <v>31</v>
      </c>
      <c r="C1174" s="23" t="s">
        <v>555</v>
      </c>
      <c r="D1174" s="23" t="s">
        <v>746</v>
      </c>
      <c r="E1174" s="24">
        <v>980</v>
      </c>
      <c r="F1174" s="24"/>
      <c r="G1174" s="24"/>
      <c r="H1174" s="24"/>
      <c r="I1174" s="24"/>
      <c r="J1174" s="24">
        <f t="shared" si="35"/>
        <v>980</v>
      </c>
      <c r="K1174" s="24">
        <f t="shared" si="36"/>
        <v>0</v>
      </c>
    </row>
    <row r="1175" spans="1:11">
      <c r="A1175" s="35"/>
      <c r="B1175" s="24">
        <v>32</v>
      </c>
      <c r="C1175" s="23"/>
      <c r="D1175" s="23"/>
      <c r="E1175" s="24"/>
      <c r="F1175" s="24"/>
      <c r="G1175" s="24"/>
      <c r="H1175" s="24"/>
      <c r="I1175" s="24"/>
      <c r="J1175" s="24" t="str">
        <f t="shared" si="35"/>
        <v/>
      </c>
      <c r="K1175" s="24">
        <f t="shared" si="36"/>
        <v>980</v>
      </c>
    </row>
    <row r="1176" spans="1:11">
      <c r="A1176" s="35"/>
      <c r="B1176" s="24">
        <v>33</v>
      </c>
      <c r="C1176" s="23"/>
      <c r="D1176" s="23"/>
      <c r="E1176" s="24"/>
      <c r="F1176" s="24"/>
      <c r="G1176" s="24"/>
      <c r="H1176" s="24"/>
      <c r="I1176" s="24"/>
      <c r="J1176" s="24" t="str">
        <f t="shared" si="35"/>
        <v/>
      </c>
      <c r="K1176" s="24">
        <f t="shared" si="36"/>
        <v>980</v>
      </c>
    </row>
    <row r="1177" spans="1:11">
      <c r="A1177" s="35"/>
      <c r="B1177" s="24">
        <v>34</v>
      </c>
      <c r="C1177" s="23"/>
      <c r="D1177" s="23"/>
      <c r="E1177" s="24"/>
      <c r="F1177" s="24"/>
      <c r="G1177" s="24"/>
      <c r="H1177" s="24"/>
      <c r="I1177" s="24"/>
      <c r="J1177" s="24" t="str">
        <f t="shared" si="35"/>
        <v/>
      </c>
      <c r="K1177" s="24">
        <f t="shared" si="36"/>
        <v>980</v>
      </c>
    </row>
    <row r="1178" spans="1:11">
      <c r="A1178" s="35"/>
      <c r="B1178" s="24">
        <v>35</v>
      </c>
      <c r="C1178" s="23"/>
      <c r="D1178" s="23"/>
      <c r="E1178" s="24"/>
      <c r="F1178" s="24"/>
      <c r="G1178" s="24"/>
      <c r="H1178" s="24"/>
      <c r="I1178" s="24"/>
      <c r="J1178" s="24" t="str">
        <f t="shared" si="35"/>
        <v/>
      </c>
      <c r="K1178" s="24">
        <f t="shared" si="36"/>
        <v>980</v>
      </c>
    </row>
    <row r="1179" spans="1:11">
      <c r="A1179" s="35"/>
      <c r="B1179" s="24">
        <v>36</v>
      </c>
      <c r="C1179" s="23"/>
      <c r="D1179" s="23"/>
      <c r="E1179" s="24"/>
      <c r="F1179" s="24"/>
      <c r="G1179" s="24"/>
      <c r="H1179" s="24"/>
      <c r="I1179" s="24"/>
      <c r="J1179" s="24" t="str">
        <f t="shared" si="35"/>
        <v/>
      </c>
      <c r="K1179" s="24">
        <f t="shared" si="36"/>
        <v>980</v>
      </c>
    </row>
    <row r="1180" spans="1:11">
      <c r="A1180" s="35"/>
      <c r="B1180" s="24">
        <v>37</v>
      </c>
      <c r="C1180" s="23"/>
      <c r="D1180" s="23"/>
      <c r="E1180" s="24"/>
      <c r="F1180" s="24"/>
      <c r="G1180" s="24"/>
      <c r="H1180" s="24"/>
      <c r="I1180" s="24"/>
      <c r="J1180" s="24" t="str">
        <f t="shared" si="35"/>
        <v/>
      </c>
      <c r="K1180" s="24">
        <f t="shared" si="36"/>
        <v>980</v>
      </c>
    </row>
    <row r="1181" spans="1:11">
      <c r="A1181" s="35"/>
      <c r="B1181" s="24">
        <v>38</v>
      </c>
      <c r="C1181" s="23"/>
      <c r="D1181" s="23"/>
      <c r="E1181" s="24"/>
      <c r="F1181" s="24"/>
      <c r="G1181" s="24"/>
      <c r="H1181" s="24"/>
      <c r="I1181" s="24"/>
      <c r="J1181" s="24" t="str">
        <f t="shared" si="35"/>
        <v/>
      </c>
      <c r="K1181" s="24">
        <f t="shared" si="36"/>
        <v>980</v>
      </c>
    </row>
    <row r="1182" spans="1:11">
      <c r="A1182" s="35"/>
      <c r="B1182" s="24">
        <v>39</v>
      </c>
      <c r="C1182" s="23"/>
      <c r="D1182" s="23"/>
      <c r="E1182" s="24"/>
      <c r="F1182" s="24"/>
      <c r="G1182" s="24"/>
      <c r="H1182" s="24"/>
      <c r="I1182" s="24"/>
      <c r="J1182" s="24" t="str">
        <f t="shared" si="35"/>
        <v/>
      </c>
      <c r="K1182" s="24">
        <f t="shared" si="36"/>
        <v>980</v>
      </c>
    </row>
    <row r="1183" spans="1:11">
      <c r="A1183" s="35"/>
      <c r="B1183" s="24">
        <v>40</v>
      </c>
      <c r="C1183" s="23"/>
      <c r="D1183" s="23"/>
      <c r="E1183" s="24"/>
      <c r="F1183" s="24"/>
      <c r="G1183" s="24"/>
      <c r="H1183" s="24"/>
      <c r="I1183" s="24"/>
      <c r="J1183" s="24" t="str">
        <f t="shared" si="35"/>
        <v/>
      </c>
      <c r="K1183" s="24">
        <f t="shared" si="36"/>
        <v>980</v>
      </c>
    </row>
    <row r="1184" spans="1:11">
      <c r="A1184" s="35"/>
      <c r="B1184" s="24">
        <v>41</v>
      </c>
      <c r="C1184" s="23"/>
      <c r="D1184" s="23"/>
      <c r="E1184" s="24"/>
      <c r="F1184" s="24"/>
      <c r="G1184" s="24"/>
      <c r="H1184" s="24"/>
      <c r="I1184" s="24"/>
      <c r="J1184" s="24" t="str">
        <f>IF(SUM(F1184:I1184)=0, "", SUM(F1184:I1184))</f>
        <v/>
      </c>
      <c r="K1184" s="24">
        <f t="shared" si="36"/>
        <v>980</v>
      </c>
    </row>
    <row r="1185" spans="1:11">
      <c r="A1185" s="35"/>
      <c r="B1185" s="24">
        <v>42</v>
      </c>
      <c r="C1185" s="23"/>
      <c r="D1185" s="23"/>
      <c r="E1185" s="24"/>
      <c r="F1185" s="24"/>
      <c r="G1185" s="24"/>
      <c r="H1185" s="24"/>
      <c r="I1185" s="24"/>
      <c r="J1185" s="24" t="str">
        <f>IF(SUM(F1185:I1185)=0, "", SUM(F1185:I1185))</f>
        <v/>
      </c>
      <c r="K1185" s="24">
        <f t="shared" si="36"/>
        <v>980</v>
      </c>
    </row>
    <row r="1186" spans="1:11">
      <c r="A1186" s="35"/>
      <c r="B1186" s="24">
        <v>43</v>
      </c>
      <c r="C1186" s="23"/>
      <c r="D1186" s="23"/>
      <c r="E1186" s="24"/>
      <c r="F1186" s="24"/>
      <c r="G1186" s="24"/>
      <c r="H1186" s="24"/>
      <c r="I1186" s="24"/>
      <c r="J1186" s="24" t="str">
        <f t="shared" si="35"/>
        <v/>
      </c>
      <c r="K1186" s="24">
        <f t="shared" si="36"/>
        <v>980</v>
      </c>
    </row>
    <row r="1187" spans="1:11">
      <c r="A1187" s="35"/>
      <c r="B1187" s="24">
        <v>44</v>
      </c>
      <c r="C1187" s="23"/>
      <c r="D1187" s="23"/>
      <c r="E1187" s="24"/>
      <c r="F1187" s="24"/>
      <c r="G1187" s="24"/>
      <c r="H1187" s="24"/>
      <c r="I1187" s="24"/>
      <c r="J1187" s="24" t="str">
        <f t="shared" si="35"/>
        <v/>
      </c>
      <c r="K1187" s="24">
        <f t="shared" si="36"/>
        <v>980</v>
      </c>
    </row>
    <row r="1188" spans="1:11">
      <c r="A1188" s="35"/>
      <c r="B1188" s="24">
        <v>45</v>
      </c>
      <c r="C1188" s="23"/>
      <c r="D1188" s="23"/>
      <c r="E1188" s="24"/>
      <c r="F1188" s="24"/>
      <c r="G1188" s="24"/>
      <c r="H1188" s="24"/>
      <c r="I1188" s="24"/>
      <c r="J1188" s="24" t="str">
        <f t="shared" si="35"/>
        <v/>
      </c>
      <c r="K1188" s="24">
        <f t="shared" si="36"/>
        <v>980</v>
      </c>
    </row>
    <row r="1189" spans="1:11">
      <c r="A1189" s="35"/>
      <c r="B1189" s="24">
        <v>46</v>
      </c>
      <c r="C1189" s="23"/>
      <c r="D1189" s="23"/>
      <c r="E1189" s="24"/>
      <c r="F1189" s="24"/>
      <c r="G1189" s="24"/>
      <c r="H1189" s="24"/>
      <c r="I1189" s="24"/>
      <c r="J1189" s="24" t="str">
        <f t="shared" si="35"/>
        <v/>
      </c>
      <c r="K1189" s="24">
        <f t="shared" si="36"/>
        <v>980</v>
      </c>
    </row>
    <row r="1190" spans="1:11">
      <c r="A1190" s="35"/>
      <c r="B1190" s="24">
        <v>47</v>
      </c>
      <c r="C1190" s="23"/>
      <c r="D1190" s="23"/>
      <c r="E1190" s="24"/>
      <c r="F1190" s="24"/>
      <c r="G1190" s="24"/>
      <c r="H1190" s="24"/>
      <c r="I1190" s="24"/>
      <c r="J1190" s="24" t="str">
        <f t="shared" si="35"/>
        <v/>
      </c>
      <c r="K1190" s="24">
        <f t="shared" si="36"/>
        <v>980</v>
      </c>
    </row>
    <row r="1191" spans="1:11">
      <c r="A1191" s="35"/>
      <c r="B1191" s="24">
        <v>48</v>
      </c>
      <c r="C1191" s="23"/>
      <c r="D1191" s="23"/>
      <c r="E1191" s="24"/>
      <c r="F1191" s="24"/>
      <c r="G1191" s="24"/>
      <c r="H1191" s="24"/>
      <c r="I1191" s="24"/>
      <c r="J1191" s="24" t="str">
        <f t="shared" si="35"/>
        <v/>
      </c>
      <c r="K1191" s="24">
        <f t="shared" si="36"/>
        <v>980</v>
      </c>
    </row>
    <row r="1192" spans="1:11">
      <c r="A1192" s="35"/>
      <c r="B1192" s="24">
        <v>49</v>
      </c>
      <c r="C1192" s="23"/>
      <c r="D1192" s="23"/>
      <c r="E1192" s="24"/>
      <c r="F1192" s="24"/>
      <c r="G1192" s="24"/>
      <c r="H1192" s="24"/>
      <c r="I1192" s="24"/>
      <c r="J1192" s="24" t="str">
        <f t="shared" si="35"/>
        <v/>
      </c>
      <c r="K1192" s="24">
        <f t="shared" si="36"/>
        <v>980</v>
      </c>
    </row>
    <row r="1193" spans="1:11">
      <c r="A1193" s="35"/>
      <c r="B1193" s="24">
        <v>50</v>
      </c>
      <c r="C1193" s="23"/>
      <c r="D1193" s="23"/>
      <c r="E1193" s="24"/>
      <c r="F1193" s="24"/>
      <c r="G1193" s="24"/>
      <c r="H1193" s="24"/>
      <c r="I1193" s="24"/>
      <c r="J1193" s="24" t="str">
        <f t="shared" si="35"/>
        <v/>
      </c>
      <c r="K1193" s="24">
        <f t="shared" si="36"/>
        <v>980</v>
      </c>
    </row>
    <row r="1194" spans="1:11">
      <c r="A1194" s="35"/>
      <c r="B1194" s="24">
        <v>51</v>
      </c>
      <c r="C1194" s="23"/>
      <c r="D1194" s="23"/>
      <c r="E1194" s="24"/>
      <c r="F1194" s="24"/>
      <c r="G1194" s="24"/>
      <c r="H1194" s="24"/>
      <c r="I1194" s="24"/>
      <c r="J1194" s="24" t="str">
        <f t="shared" si="35"/>
        <v/>
      </c>
      <c r="K1194" s="24">
        <f t="shared" si="36"/>
        <v>980</v>
      </c>
    </row>
    <row r="1195" spans="1:11">
      <c r="A1195" s="35"/>
      <c r="B1195" s="24">
        <v>52</v>
      </c>
      <c r="C1195" s="23"/>
      <c r="D1195" s="23"/>
      <c r="E1195" s="24"/>
      <c r="F1195" s="24"/>
      <c r="G1195" s="24"/>
      <c r="H1195" s="24"/>
      <c r="I1195" s="24"/>
      <c r="J1195" s="24" t="str">
        <f t="shared" si="35"/>
        <v/>
      </c>
      <c r="K1195" s="24">
        <f t="shared" si="36"/>
        <v>980</v>
      </c>
    </row>
    <row r="1196" spans="1:11">
      <c r="A1196" s="35"/>
      <c r="B1196" s="24">
        <v>53</v>
      </c>
      <c r="C1196" s="23"/>
      <c r="D1196" s="23"/>
      <c r="E1196" s="24"/>
      <c r="F1196" s="24"/>
      <c r="G1196" s="24"/>
      <c r="H1196" s="24"/>
      <c r="I1196" s="24"/>
      <c r="J1196" s="24" t="str">
        <f t="shared" si="35"/>
        <v/>
      </c>
      <c r="K1196" s="24">
        <f t="shared" si="36"/>
        <v>980</v>
      </c>
    </row>
    <row r="1197" spans="1:11">
      <c r="A1197" s="35"/>
      <c r="B1197" s="24">
        <v>54</v>
      </c>
      <c r="C1197" s="23"/>
      <c r="D1197" s="23"/>
      <c r="E1197" s="24"/>
      <c r="F1197" s="24"/>
      <c r="G1197" s="24"/>
      <c r="H1197" s="24"/>
      <c r="I1197" s="24"/>
      <c r="J1197" s="24" t="str">
        <f t="shared" si="35"/>
        <v/>
      </c>
      <c r="K1197" s="24">
        <f t="shared" si="36"/>
        <v>980</v>
      </c>
    </row>
    <row r="1198" spans="1:11">
      <c r="A1198" s="35"/>
      <c r="B1198" s="24">
        <v>55</v>
      </c>
      <c r="C1198" s="23"/>
      <c r="D1198" s="23"/>
      <c r="E1198" s="24"/>
      <c r="F1198" s="24"/>
      <c r="G1198" s="24"/>
      <c r="H1198" s="24"/>
      <c r="I1198" s="24"/>
      <c r="J1198" s="24" t="str">
        <f t="shared" si="35"/>
        <v/>
      </c>
      <c r="K1198" s="24">
        <f t="shared" si="36"/>
        <v>980</v>
      </c>
    </row>
    <row r="1199" spans="1:11">
      <c r="A1199" s="35"/>
      <c r="B1199" s="24">
        <v>56</v>
      </c>
      <c r="C1199" s="23"/>
      <c r="D1199" s="23"/>
      <c r="E1199" s="24"/>
      <c r="F1199" s="24"/>
      <c r="G1199" s="24"/>
      <c r="H1199" s="24"/>
      <c r="I1199" s="24"/>
      <c r="J1199" s="24" t="str">
        <f t="shared" si="35"/>
        <v/>
      </c>
      <c r="K1199" s="24">
        <f t="shared" si="36"/>
        <v>980</v>
      </c>
    </row>
    <row r="1200" spans="1:11">
      <c r="A1200" s="35"/>
      <c r="B1200" s="24">
        <v>57</v>
      </c>
      <c r="C1200" s="23"/>
      <c r="D1200" s="23"/>
      <c r="E1200" s="24"/>
      <c r="F1200" s="24"/>
      <c r="G1200" s="24"/>
      <c r="H1200" s="24"/>
      <c r="I1200" s="24"/>
      <c r="J1200" s="24" t="str">
        <f t="shared" si="35"/>
        <v/>
      </c>
      <c r="K1200" s="24">
        <f t="shared" si="36"/>
        <v>980</v>
      </c>
    </row>
    <row r="1201" spans="1:11">
      <c r="A1201" s="35"/>
      <c r="B1201" s="24">
        <v>58</v>
      </c>
      <c r="C1201" s="23"/>
      <c r="D1201" s="23"/>
      <c r="E1201" s="24"/>
      <c r="F1201" s="24"/>
      <c r="G1201" s="24"/>
      <c r="H1201" s="24"/>
      <c r="I1201" s="24"/>
      <c r="J1201" s="24" t="str">
        <f t="shared" si="35"/>
        <v/>
      </c>
      <c r="K1201" s="24">
        <f t="shared" si="36"/>
        <v>980</v>
      </c>
    </row>
    <row r="1202" spans="1:11">
      <c r="A1202" s="35"/>
      <c r="B1202" s="24">
        <v>59</v>
      </c>
      <c r="C1202" s="23"/>
      <c r="D1202" s="23"/>
      <c r="E1202" s="24"/>
      <c r="F1202" s="24"/>
      <c r="G1202" s="24"/>
      <c r="H1202" s="24"/>
      <c r="I1202" s="24"/>
      <c r="J1202" s="24" t="str">
        <f t="shared" si="35"/>
        <v/>
      </c>
      <c r="K1202" s="24">
        <f t="shared" si="36"/>
        <v>980</v>
      </c>
    </row>
    <row r="1203" spans="1:11">
      <c r="A1203" s="35"/>
      <c r="B1203" s="24">
        <v>60</v>
      </c>
      <c r="C1203" s="23"/>
      <c r="D1203" s="23"/>
      <c r="E1203" s="24"/>
      <c r="F1203" s="24"/>
      <c r="G1203" s="24"/>
      <c r="H1203" s="24"/>
      <c r="I1203" s="24"/>
      <c r="J1203" s="24" t="str">
        <f t="shared" si="35"/>
        <v/>
      </c>
      <c r="K1203" s="24">
        <f t="shared" si="36"/>
        <v>980</v>
      </c>
    </row>
    <row r="1204" spans="1:11">
      <c r="A1204" s="35"/>
      <c r="B1204" s="34"/>
      <c r="C1204" s="34"/>
      <c r="D1204" s="34"/>
      <c r="E1204" s="34"/>
      <c r="F1204" s="34"/>
      <c r="G1204" s="34"/>
      <c r="H1204" s="34"/>
      <c r="I1204" s="33" t="s">
        <v>31</v>
      </c>
      <c r="J1204" s="33"/>
      <c r="K1204" s="24">
        <f>SUM(K1144:K1203)</f>
        <v>43110</v>
      </c>
    </row>
    <row r="1205" spans="1:11">
      <c r="I1205" s="27"/>
      <c r="J1205" s="27"/>
      <c r="K1205" s="24"/>
    </row>
    <row r="1208" spans="1:11">
      <c r="A1208" s="23">
        <v>19</v>
      </c>
      <c r="B1208" s="23" t="s">
        <v>0</v>
      </c>
      <c r="C1208" s="28" t="str">
        <f>IF('Navigation and Summary'!$B$27="", "", 'Navigation and Summary'!$B$27)</f>
        <v>BASIC 7B</v>
      </c>
      <c r="D1208" s="28"/>
      <c r="E1208" s="23" t="s">
        <v>37</v>
      </c>
      <c r="F1208" s="24">
        <f>IF('Navigation and Summary'!$C$27="", "", 'Navigation and Summary'!$C$27)</f>
        <v>980</v>
      </c>
      <c r="G1208" s="23" t="s">
        <v>34</v>
      </c>
      <c r="H1208" s="24" t="str">
        <f>IF(C1208="", "", 'Navigation and Summary'!$G$6)</f>
        <v>2025-26</v>
      </c>
    </row>
    <row r="1209" spans="1:11">
      <c r="A1209" s="35"/>
      <c r="B1209" s="35" t="s">
        <v>32</v>
      </c>
      <c r="C1209" s="35"/>
      <c r="D1209" s="35"/>
      <c r="E1209" s="35"/>
      <c r="F1209" s="35"/>
      <c r="G1209" s="35"/>
      <c r="H1209" s="35"/>
      <c r="I1209" s="23"/>
      <c r="J1209" s="23"/>
      <c r="K1209" s="23"/>
    </row>
    <row r="1210" spans="1:11" ht="28.5">
      <c r="A1210" s="35"/>
      <c r="B1210" s="25" t="s">
        <v>1</v>
      </c>
      <c r="C1210" s="25" t="s">
        <v>2</v>
      </c>
      <c r="D1210" s="25" t="s">
        <v>745</v>
      </c>
      <c r="E1210" s="25" t="s">
        <v>3</v>
      </c>
      <c r="F1210" s="25" t="s">
        <v>4</v>
      </c>
      <c r="G1210" s="25" t="s">
        <v>5</v>
      </c>
      <c r="H1210" s="25" t="s">
        <v>6</v>
      </c>
      <c r="I1210" s="25" t="s">
        <v>7</v>
      </c>
      <c r="J1210" s="25" t="s">
        <v>8</v>
      </c>
      <c r="K1210" s="25" t="s">
        <v>9</v>
      </c>
    </row>
    <row r="1211" spans="1:11">
      <c r="A1211" s="35"/>
      <c r="B1211" s="24">
        <v>1</v>
      </c>
      <c r="C1211" s="23" t="s">
        <v>677</v>
      </c>
      <c r="D1211" s="23" t="s">
        <v>747</v>
      </c>
      <c r="E1211" s="24">
        <v>500</v>
      </c>
      <c r="F1211" s="24">
        <v>200</v>
      </c>
      <c r="G1211" s="24"/>
      <c r="H1211" s="24"/>
      <c r="I1211" s="24"/>
      <c r="J1211" s="24">
        <f>IF(SUM(E1211:I1211)=0, "", SUM(E1211:I1211))</f>
        <v>700</v>
      </c>
      <c r="K1211" s="24">
        <f xml:space="preserve"> IFERROR(IF(($F$1208-J1211)=0, 0, ($F$1208-J1211)),$F$1208)</f>
        <v>280</v>
      </c>
    </row>
    <row r="1212" spans="1:11">
      <c r="A1212" s="35"/>
      <c r="B1212" s="24">
        <v>2</v>
      </c>
      <c r="C1212" s="23" t="s">
        <v>528</v>
      </c>
      <c r="D1212" s="23" t="s">
        <v>746</v>
      </c>
      <c r="E1212" s="24">
        <v>980</v>
      </c>
      <c r="F1212" s="24"/>
      <c r="G1212" s="24"/>
      <c r="H1212" s="24"/>
      <c r="I1212" s="24"/>
      <c r="J1212" s="24">
        <f t="shared" ref="J1212:J1270" si="37">IF(SUM(E1212:I1212)=0, "", SUM(E1212:I1212))</f>
        <v>980</v>
      </c>
      <c r="K1212" s="24">
        <f t="shared" ref="K1212:K1270" si="38" xml:space="preserve"> IFERROR(IF(($F$1208-J1212)=0, 0, ($F$1208-J1212)),$F$1208)</f>
        <v>0</v>
      </c>
    </row>
    <row r="1213" spans="1:11">
      <c r="A1213" s="35"/>
      <c r="B1213" s="24">
        <v>3</v>
      </c>
      <c r="C1213" s="23" t="s">
        <v>628</v>
      </c>
      <c r="D1213" s="23" t="s">
        <v>746</v>
      </c>
      <c r="E1213" s="24">
        <v>980</v>
      </c>
      <c r="F1213" s="24"/>
      <c r="G1213" s="24"/>
      <c r="H1213" s="24"/>
      <c r="I1213" s="24"/>
      <c r="J1213" s="24">
        <f t="shared" si="37"/>
        <v>980</v>
      </c>
      <c r="K1213" s="24">
        <f t="shared" si="38"/>
        <v>0</v>
      </c>
    </row>
    <row r="1214" spans="1:11">
      <c r="A1214" s="35"/>
      <c r="B1214" s="24">
        <v>4</v>
      </c>
      <c r="C1214" s="23" t="s">
        <v>505</v>
      </c>
      <c r="D1214" s="23" t="s">
        <v>746</v>
      </c>
      <c r="E1214" s="24">
        <v>220</v>
      </c>
      <c r="F1214" s="24"/>
      <c r="G1214" s="24"/>
      <c r="H1214" s="24"/>
      <c r="I1214" s="24"/>
      <c r="J1214" s="24">
        <f t="shared" si="37"/>
        <v>220</v>
      </c>
      <c r="K1214" s="24">
        <f t="shared" si="38"/>
        <v>760</v>
      </c>
    </row>
    <row r="1215" spans="1:11">
      <c r="A1215" s="35"/>
      <c r="B1215" s="24">
        <v>5</v>
      </c>
      <c r="C1215" s="23" t="s">
        <v>533</v>
      </c>
      <c r="D1215" s="23" t="s">
        <v>747</v>
      </c>
      <c r="E1215" s="24">
        <v>500</v>
      </c>
      <c r="F1215" s="24"/>
      <c r="G1215" s="24"/>
      <c r="H1215" s="24"/>
      <c r="I1215" s="24"/>
      <c r="J1215" s="24">
        <f t="shared" si="37"/>
        <v>500</v>
      </c>
      <c r="K1215" s="24">
        <f t="shared" si="38"/>
        <v>480</v>
      </c>
    </row>
    <row r="1216" spans="1:11">
      <c r="A1216" s="35"/>
      <c r="B1216" s="24">
        <v>6</v>
      </c>
      <c r="C1216" s="23" t="s">
        <v>535</v>
      </c>
      <c r="D1216" s="23" t="s">
        <v>746</v>
      </c>
      <c r="E1216" s="24">
        <v>400</v>
      </c>
      <c r="F1216" s="24">
        <v>300</v>
      </c>
      <c r="G1216" s="24"/>
      <c r="H1216" s="24"/>
      <c r="I1216" s="24"/>
      <c r="J1216" s="24">
        <f t="shared" si="37"/>
        <v>700</v>
      </c>
      <c r="K1216" s="24">
        <f t="shared" si="38"/>
        <v>280</v>
      </c>
    </row>
    <row r="1217" spans="1:11">
      <c r="A1217" s="35"/>
      <c r="B1217" s="24">
        <v>7</v>
      </c>
      <c r="C1217" s="23" t="s">
        <v>510</v>
      </c>
      <c r="D1217" s="23" t="s">
        <v>746</v>
      </c>
      <c r="E1217" s="24">
        <v>980</v>
      </c>
      <c r="F1217" s="24"/>
      <c r="G1217" s="24"/>
      <c r="H1217" s="24"/>
      <c r="I1217" s="24"/>
      <c r="J1217" s="24">
        <f t="shared" si="37"/>
        <v>980</v>
      </c>
      <c r="K1217" s="24">
        <f t="shared" si="38"/>
        <v>0</v>
      </c>
    </row>
    <row r="1218" spans="1:11">
      <c r="A1218" s="35"/>
      <c r="B1218" s="24">
        <v>8</v>
      </c>
      <c r="C1218" s="23" t="s">
        <v>511</v>
      </c>
      <c r="D1218" s="23" t="s">
        <v>747</v>
      </c>
      <c r="E1218" s="24">
        <v>300</v>
      </c>
      <c r="F1218" s="24">
        <v>300</v>
      </c>
      <c r="G1218" s="24"/>
      <c r="H1218" s="24"/>
      <c r="I1218" s="24"/>
      <c r="J1218" s="24">
        <f t="shared" si="37"/>
        <v>600</v>
      </c>
      <c r="K1218" s="24">
        <f t="shared" si="38"/>
        <v>380</v>
      </c>
    </row>
    <row r="1219" spans="1:11">
      <c r="A1219" s="35"/>
      <c r="B1219" s="24">
        <v>9</v>
      </c>
      <c r="C1219" s="23" t="s">
        <v>536</v>
      </c>
      <c r="D1219" s="23" t="s">
        <v>746</v>
      </c>
      <c r="E1219" s="24">
        <v>320</v>
      </c>
      <c r="F1219" s="24"/>
      <c r="G1219" s="24"/>
      <c r="H1219" s="24"/>
      <c r="I1219" s="24"/>
      <c r="J1219" s="24">
        <f t="shared" si="37"/>
        <v>320</v>
      </c>
      <c r="K1219" s="24">
        <f t="shared" si="38"/>
        <v>660</v>
      </c>
    </row>
    <row r="1220" spans="1:11">
      <c r="A1220" s="35"/>
      <c r="B1220" s="24">
        <v>10</v>
      </c>
      <c r="C1220" s="23" t="s">
        <v>537</v>
      </c>
      <c r="D1220" s="23" t="s">
        <v>746</v>
      </c>
      <c r="E1220" s="24">
        <v>400</v>
      </c>
      <c r="F1220" s="24"/>
      <c r="G1220" s="24"/>
      <c r="H1220" s="24"/>
      <c r="I1220" s="24"/>
      <c r="J1220" s="24">
        <f t="shared" si="37"/>
        <v>400</v>
      </c>
      <c r="K1220" s="24">
        <f t="shared" si="38"/>
        <v>580</v>
      </c>
    </row>
    <row r="1221" spans="1:11">
      <c r="A1221" s="35"/>
      <c r="B1221" s="24">
        <v>11</v>
      </c>
      <c r="C1221" s="23" t="s">
        <v>538</v>
      </c>
      <c r="D1221" s="23" t="s">
        <v>747</v>
      </c>
      <c r="E1221" s="24">
        <v>200</v>
      </c>
      <c r="F1221" s="24">
        <v>200</v>
      </c>
      <c r="G1221" s="24"/>
      <c r="H1221" s="24"/>
      <c r="I1221" s="24"/>
      <c r="J1221" s="24">
        <f t="shared" si="37"/>
        <v>400</v>
      </c>
      <c r="K1221" s="24">
        <f t="shared" si="38"/>
        <v>580</v>
      </c>
    </row>
    <row r="1222" spans="1:11">
      <c r="A1222" s="35"/>
      <c r="B1222" s="24">
        <v>12</v>
      </c>
      <c r="C1222" s="23" t="s">
        <v>540</v>
      </c>
      <c r="D1222" s="23" t="s">
        <v>746</v>
      </c>
      <c r="E1222" s="24">
        <v>980</v>
      </c>
      <c r="F1222" s="24"/>
      <c r="G1222" s="24"/>
      <c r="H1222" s="24"/>
      <c r="I1222" s="24"/>
      <c r="J1222" s="24">
        <f t="shared" si="37"/>
        <v>980</v>
      </c>
      <c r="K1222" s="24">
        <f t="shared" si="38"/>
        <v>0</v>
      </c>
    </row>
    <row r="1223" spans="1:11">
      <c r="A1223" s="35"/>
      <c r="B1223" s="24">
        <v>13</v>
      </c>
      <c r="C1223" s="23" t="s">
        <v>516</v>
      </c>
      <c r="D1223" s="23" t="s">
        <v>746</v>
      </c>
      <c r="E1223" s="24">
        <v>200</v>
      </c>
      <c r="F1223" s="24"/>
      <c r="G1223" s="24"/>
      <c r="H1223" s="24"/>
      <c r="I1223" s="24"/>
      <c r="J1223" s="24">
        <f t="shared" si="37"/>
        <v>200</v>
      </c>
      <c r="K1223" s="24">
        <f t="shared" si="38"/>
        <v>780</v>
      </c>
    </row>
    <row r="1224" spans="1:11">
      <c r="A1224" s="35"/>
      <c r="B1224" s="24">
        <v>14</v>
      </c>
      <c r="C1224" s="23" t="s">
        <v>517</v>
      </c>
      <c r="D1224" s="23" t="s">
        <v>746</v>
      </c>
      <c r="E1224" s="24">
        <v>500</v>
      </c>
      <c r="F1224" s="24"/>
      <c r="G1224" s="24"/>
      <c r="H1224" s="24"/>
      <c r="I1224" s="24"/>
      <c r="J1224" s="24">
        <f t="shared" si="37"/>
        <v>500</v>
      </c>
      <c r="K1224" s="24">
        <f t="shared" si="38"/>
        <v>480</v>
      </c>
    </row>
    <row r="1225" spans="1:11">
      <c r="A1225" s="35"/>
      <c r="B1225" s="24">
        <v>15</v>
      </c>
      <c r="C1225" s="23" t="s">
        <v>541</v>
      </c>
      <c r="D1225" s="23" t="s">
        <v>747</v>
      </c>
      <c r="E1225" s="24">
        <v>500</v>
      </c>
      <c r="F1225" s="24"/>
      <c r="G1225" s="24"/>
      <c r="H1225" s="24"/>
      <c r="I1225" s="24"/>
      <c r="J1225" s="24">
        <f t="shared" si="37"/>
        <v>500</v>
      </c>
      <c r="K1225" s="24">
        <f t="shared" si="38"/>
        <v>480</v>
      </c>
    </row>
    <row r="1226" spans="1:11">
      <c r="A1226" s="35"/>
      <c r="B1226" s="24">
        <v>16</v>
      </c>
      <c r="C1226" s="23" t="s">
        <v>544</v>
      </c>
      <c r="D1226" s="23" t="s">
        <v>746</v>
      </c>
      <c r="E1226" s="24">
        <v>400</v>
      </c>
      <c r="F1226" s="24"/>
      <c r="G1226" s="24"/>
      <c r="H1226" s="24"/>
      <c r="I1226" s="24"/>
      <c r="J1226" s="24">
        <f t="shared" si="37"/>
        <v>400</v>
      </c>
      <c r="K1226" s="24">
        <f t="shared" si="38"/>
        <v>580</v>
      </c>
    </row>
    <row r="1227" spans="1:11">
      <c r="A1227" s="35"/>
      <c r="B1227" s="24">
        <v>17</v>
      </c>
      <c r="C1227" s="23" t="s">
        <v>545</v>
      </c>
      <c r="D1227" s="23" t="s">
        <v>747</v>
      </c>
      <c r="E1227" s="24">
        <v>500</v>
      </c>
      <c r="F1227" s="24"/>
      <c r="G1227" s="24"/>
      <c r="H1227" s="24"/>
      <c r="I1227" s="24"/>
      <c r="J1227" s="24">
        <f t="shared" si="37"/>
        <v>500</v>
      </c>
      <c r="K1227" s="24">
        <f t="shared" si="38"/>
        <v>480</v>
      </c>
    </row>
    <row r="1228" spans="1:11">
      <c r="A1228" s="35"/>
      <c r="B1228" s="24">
        <v>18</v>
      </c>
      <c r="C1228" s="23" t="s">
        <v>611</v>
      </c>
      <c r="D1228" s="23" t="s">
        <v>747</v>
      </c>
      <c r="E1228" s="24">
        <v>500</v>
      </c>
      <c r="F1228" s="24">
        <v>400</v>
      </c>
      <c r="G1228" s="24"/>
      <c r="H1228" s="24"/>
      <c r="I1228" s="24"/>
      <c r="J1228" s="24">
        <f t="shared" si="37"/>
        <v>900</v>
      </c>
      <c r="K1228" s="24">
        <f t="shared" si="38"/>
        <v>80</v>
      </c>
    </row>
    <row r="1229" spans="1:11">
      <c r="A1229" s="35"/>
      <c r="B1229" s="24">
        <v>19</v>
      </c>
      <c r="C1229" s="23" t="s">
        <v>678</v>
      </c>
      <c r="D1229" s="23" t="s">
        <v>747</v>
      </c>
      <c r="E1229" s="24">
        <v>20</v>
      </c>
      <c r="F1229" s="24"/>
      <c r="G1229" s="24"/>
      <c r="H1229" s="24"/>
      <c r="I1229" s="24"/>
      <c r="J1229" s="24">
        <f t="shared" si="37"/>
        <v>20</v>
      </c>
      <c r="K1229" s="24">
        <f t="shared" si="38"/>
        <v>960</v>
      </c>
    </row>
    <row r="1230" spans="1:11">
      <c r="A1230" s="35"/>
      <c r="B1230" s="24">
        <v>20</v>
      </c>
      <c r="C1230" s="23" t="s">
        <v>518</v>
      </c>
      <c r="D1230" s="23" t="s">
        <v>747</v>
      </c>
      <c r="E1230" s="24">
        <v>260</v>
      </c>
      <c r="F1230" s="24">
        <v>350</v>
      </c>
      <c r="G1230" s="24"/>
      <c r="H1230" s="24"/>
      <c r="I1230" s="24"/>
      <c r="J1230" s="24">
        <f t="shared" si="37"/>
        <v>610</v>
      </c>
      <c r="K1230" s="24">
        <f t="shared" si="38"/>
        <v>370</v>
      </c>
    </row>
    <row r="1231" spans="1:11">
      <c r="A1231" s="35"/>
      <c r="B1231" s="24">
        <v>21</v>
      </c>
      <c r="C1231" s="23" t="s">
        <v>519</v>
      </c>
      <c r="D1231" s="23" t="s">
        <v>747</v>
      </c>
      <c r="E1231" s="24">
        <v>420</v>
      </c>
      <c r="F1231" s="24">
        <v>300</v>
      </c>
      <c r="G1231" s="24"/>
      <c r="H1231" s="24"/>
      <c r="I1231" s="24"/>
      <c r="J1231" s="24">
        <f t="shared" si="37"/>
        <v>720</v>
      </c>
      <c r="K1231" s="24">
        <f t="shared" si="38"/>
        <v>260</v>
      </c>
    </row>
    <row r="1232" spans="1:11">
      <c r="A1232" s="35"/>
      <c r="B1232" s="24">
        <v>22</v>
      </c>
      <c r="C1232" s="23" t="s">
        <v>737</v>
      </c>
      <c r="D1232" s="23" t="s">
        <v>746</v>
      </c>
      <c r="E1232" s="24">
        <v>980</v>
      </c>
      <c r="F1232" s="24"/>
      <c r="G1232" s="24"/>
      <c r="H1232" s="24"/>
      <c r="I1232" s="24"/>
      <c r="J1232" s="24">
        <f t="shared" si="37"/>
        <v>980</v>
      </c>
      <c r="K1232" s="24">
        <f t="shared" si="38"/>
        <v>0</v>
      </c>
    </row>
    <row r="1233" spans="1:11">
      <c r="A1233" s="35"/>
      <c r="B1233" s="24">
        <v>23</v>
      </c>
      <c r="C1233" s="23" t="s">
        <v>547</v>
      </c>
      <c r="D1233" s="23" t="s">
        <v>746</v>
      </c>
      <c r="E1233" s="24">
        <v>200</v>
      </c>
      <c r="F1233" s="24">
        <v>200</v>
      </c>
      <c r="G1233" s="24"/>
      <c r="H1233" s="24"/>
      <c r="I1233" s="24"/>
      <c r="J1233" s="24">
        <f t="shared" si="37"/>
        <v>400</v>
      </c>
      <c r="K1233" s="24">
        <f t="shared" si="38"/>
        <v>580</v>
      </c>
    </row>
    <row r="1234" spans="1:11">
      <c r="A1234" s="35"/>
      <c r="B1234" s="24">
        <v>24</v>
      </c>
      <c r="C1234" s="23" t="s">
        <v>548</v>
      </c>
      <c r="D1234" s="23" t="s">
        <v>747</v>
      </c>
      <c r="E1234" s="24">
        <v>980</v>
      </c>
      <c r="F1234" s="24"/>
      <c r="G1234" s="24"/>
      <c r="H1234" s="24"/>
      <c r="I1234" s="24"/>
      <c r="J1234" s="24">
        <f t="shared" si="37"/>
        <v>980</v>
      </c>
      <c r="K1234" s="24">
        <f t="shared" si="38"/>
        <v>0</v>
      </c>
    </row>
    <row r="1235" spans="1:11">
      <c r="A1235" s="35"/>
      <c r="B1235" s="24">
        <v>25</v>
      </c>
      <c r="C1235" s="23" t="s">
        <v>550</v>
      </c>
      <c r="D1235" s="23" t="s">
        <v>747</v>
      </c>
      <c r="E1235" s="24">
        <v>70</v>
      </c>
      <c r="F1235" s="24">
        <v>200</v>
      </c>
      <c r="G1235" s="24"/>
      <c r="H1235" s="24"/>
      <c r="I1235" s="24"/>
      <c r="J1235" s="24">
        <f t="shared" si="37"/>
        <v>270</v>
      </c>
      <c r="K1235" s="24">
        <f t="shared" si="38"/>
        <v>710</v>
      </c>
    </row>
    <row r="1236" spans="1:11">
      <c r="A1236" s="35"/>
      <c r="B1236" s="24">
        <v>26</v>
      </c>
      <c r="C1236" s="32" t="s">
        <v>679</v>
      </c>
      <c r="D1236" s="32" t="s">
        <v>747</v>
      </c>
      <c r="E1236" s="24">
        <v>500</v>
      </c>
      <c r="F1236" s="24"/>
      <c r="G1236" s="24"/>
      <c r="H1236" s="24"/>
      <c r="I1236" s="24"/>
      <c r="J1236" s="24">
        <f t="shared" si="37"/>
        <v>500</v>
      </c>
      <c r="K1236" s="24">
        <f t="shared" si="38"/>
        <v>480</v>
      </c>
    </row>
    <row r="1237" spans="1:11">
      <c r="A1237" s="35"/>
      <c r="B1237" s="24">
        <v>27</v>
      </c>
      <c r="C1237" s="23" t="s">
        <v>525</v>
      </c>
      <c r="D1237" s="23" t="s">
        <v>746</v>
      </c>
      <c r="E1237" s="24">
        <v>250</v>
      </c>
      <c r="F1237" s="24">
        <v>150</v>
      </c>
      <c r="G1237" s="24">
        <v>150</v>
      </c>
      <c r="H1237" s="24"/>
      <c r="I1237" s="24"/>
      <c r="J1237" s="24">
        <f t="shared" si="37"/>
        <v>550</v>
      </c>
      <c r="K1237" s="24">
        <f t="shared" si="38"/>
        <v>430</v>
      </c>
    </row>
    <row r="1238" spans="1:11">
      <c r="A1238" s="35"/>
      <c r="B1238" s="24">
        <v>28</v>
      </c>
      <c r="C1238" s="23" t="s">
        <v>552</v>
      </c>
      <c r="D1238" s="23" t="s">
        <v>747</v>
      </c>
      <c r="E1238" s="24">
        <v>280</v>
      </c>
      <c r="F1238" s="24"/>
      <c r="G1238" s="24"/>
      <c r="H1238" s="24"/>
      <c r="I1238" s="24"/>
      <c r="J1238" s="24">
        <f t="shared" si="37"/>
        <v>280</v>
      </c>
      <c r="K1238" s="24">
        <f t="shared" si="38"/>
        <v>700</v>
      </c>
    </row>
    <row r="1239" spans="1:11">
      <c r="A1239" s="35"/>
      <c r="B1239" s="24">
        <v>29</v>
      </c>
      <c r="C1239" s="23" t="s">
        <v>527</v>
      </c>
      <c r="D1239" s="23" t="s">
        <v>746</v>
      </c>
      <c r="E1239" s="24">
        <v>500</v>
      </c>
      <c r="F1239" s="24"/>
      <c r="G1239" s="24"/>
      <c r="H1239" s="24"/>
      <c r="I1239" s="24"/>
      <c r="J1239" s="24">
        <f t="shared" si="37"/>
        <v>500</v>
      </c>
      <c r="K1239" s="24">
        <f t="shared" si="38"/>
        <v>480</v>
      </c>
    </row>
    <row r="1240" spans="1:11">
      <c r="A1240" s="35"/>
      <c r="B1240" s="24">
        <v>30</v>
      </c>
      <c r="C1240" s="23" t="s">
        <v>553</v>
      </c>
      <c r="D1240" s="23" t="s">
        <v>746</v>
      </c>
      <c r="E1240" s="24">
        <v>500</v>
      </c>
      <c r="F1240" s="24"/>
      <c r="G1240" s="24"/>
      <c r="H1240" s="24"/>
      <c r="I1240" s="24"/>
      <c r="J1240" s="24">
        <f t="shared" si="37"/>
        <v>500</v>
      </c>
      <c r="K1240" s="24">
        <f t="shared" si="38"/>
        <v>480</v>
      </c>
    </row>
    <row r="1241" spans="1:11">
      <c r="A1241" s="35"/>
      <c r="B1241" s="24">
        <v>31</v>
      </c>
      <c r="C1241" s="23" t="s">
        <v>554</v>
      </c>
      <c r="D1241" s="23" t="s">
        <v>747</v>
      </c>
      <c r="E1241" s="24">
        <v>400</v>
      </c>
      <c r="F1241" s="24"/>
      <c r="G1241" s="24"/>
      <c r="H1241" s="24"/>
      <c r="I1241" s="24"/>
      <c r="J1241" s="24">
        <f t="shared" si="37"/>
        <v>400</v>
      </c>
      <c r="K1241" s="24">
        <f t="shared" si="38"/>
        <v>580</v>
      </c>
    </row>
    <row r="1242" spans="1:11">
      <c r="A1242" s="35"/>
      <c r="B1242" s="24">
        <v>32</v>
      </c>
      <c r="C1242" s="23" t="s">
        <v>654</v>
      </c>
      <c r="D1242" s="23" t="s">
        <v>747</v>
      </c>
      <c r="E1242" s="24">
        <v>500</v>
      </c>
      <c r="F1242" s="24"/>
      <c r="G1242" s="24"/>
      <c r="H1242" s="24"/>
      <c r="I1242" s="24"/>
      <c r="J1242" s="24">
        <f t="shared" si="37"/>
        <v>500</v>
      </c>
      <c r="K1242" s="24">
        <f t="shared" si="38"/>
        <v>480</v>
      </c>
    </row>
    <row r="1243" spans="1:11">
      <c r="A1243" s="35"/>
      <c r="B1243" s="24">
        <v>33</v>
      </c>
      <c r="C1243" s="23"/>
      <c r="D1243" s="23"/>
      <c r="E1243" s="24"/>
      <c r="F1243" s="24"/>
      <c r="G1243" s="24"/>
      <c r="H1243" s="24"/>
      <c r="I1243" s="24"/>
      <c r="J1243" s="24" t="str">
        <f t="shared" si="37"/>
        <v/>
      </c>
      <c r="K1243" s="24">
        <f t="shared" si="38"/>
        <v>980</v>
      </c>
    </row>
    <row r="1244" spans="1:11">
      <c r="A1244" s="35"/>
      <c r="B1244" s="24">
        <v>34</v>
      </c>
      <c r="C1244" s="23"/>
      <c r="D1244" s="23"/>
      <c r="E1244" s="24"/>
      <c r="F1244" s="24"/>
      <c r="G1244" s="24"/>
      <c r="H1244" s="24"/>
      <c r="I1244" s="24"/>
      <c r="J1244" s="24" t="str">
        <f t="shared" si="37"/>
        <v/>
      </c>
      <c r="K1244" s="24">
        <f t="shared" si="38"/>
        <v>980</v>
      </c>
    </row>
    <row r="1245" spans="1:11">
      <c r="A1245" s="35"/>
      <c r="B1245" s="24">
        <v>35</v>
      </c>
      <c r="C1245" s="23"/>
      <c r="D1245" s="23"/>
      <c r="E1245" s="24"/>
      <c r="F1245" s="24"/>
      <c r="G1245" s="24"/>
      <c r="H1245" s="24"/>
      <c r="I1245" s="24"/>
      <c r="J1245" s="24" t="str">
        <f t="shared" si="37"/>
        <v/>
      </c>
      <c r="K1245" s="24">
        <f t="shared" si="38"/>
        <v>980</v>
      </c>
    </row>
    <row r="1246" spans="1:11">
      <c r="A1246" s="35"/>
      <c r="B1246" s="24">
        <v>36</v>
      </c>
      <c r="C1246" s="23"/>
      <c r="D1246" s="23"/>
      <c r="E1246" s="24"/>
      <c r="F1246" s="24"/>
      <c r="G1246" s="24"/>
      <c r="H1246" s="24"/>
      <c r="I1246" s="24"/>
      <c r="J1246" s="24" t="str">
        <f t="shared" si="37"/>
        <v/>
      </c>
      <c r="K1246" s="24">
        <f t="shared" si="38"/>
        <v>980</v>
      </c>
    </row>
    <row r="1247" spans="1:11">
      <c r="A1247" s="35"/>
      <c r="B1247" s="24">
        <v>37</v>
      </c>
      <c r="E1247" s="24"/>
      <c r="F1247" s="24"/>
      <c r="G1247" s="24"/>
      <c r="H1247" s="24"/>
      <c r="I1247" s="24"/>
      <c r="J1247" s="24" t="str">
        <f t="shared" si="37"/>
        <v/>
      </c>
      <c r="K1247" s="24">
        <f t="shared" si="38"/>
        <v>980</v>
      </c>
    </row>
    <row r="1248" spans="1:11">
      <c r="A1248" s="35"/>
      <c r="B1248" s="24">
        <v>38</v>
      </c>
      <c r="F1248" s="24"/>
      <c r="G1248" s="24"/>
      <c r="H1248" s="24"/>
      <c r="I1248" s="24"/>
      <c r="J1248" s="24" t="str">
        <f t="shared" si="37"/>
        <v/>
      </c>
      <c r="K1248" s="24">
        <f t="shared" si="38"/>
        <v>980</v>
      </c>
    </row>
    <row r="1249" spans="1:11">
      <c r="A1249" s="35"/>
      <c r="B1249" s="24">
        <v>39</v>
      </c>
      <c r="F1249" s="24"/>
      <c r="G1249" s="24"/>
      <c r="H1249" s="24"/>
      <c r="I1249" s="24"/>
      <c r="J1249" s="24" t="str">
        <f t="shared" si="37"/>
        <v/>
      </c>
      <c r="K1249" s="24">
        <f t="shared" si="38"/>
        <v>980</v>
      </c>
    </row>
    <row r="1250" spans="1:11">
      <c r="A1250" s="35"/>
      <c r="B1250" s="24">
        <v>40</v>
      </c>
      <c r="C1250" s="23"/>
      <c r="D1250" s="23"/>
      <c r="E1250" s="24"/>
      <c r="F1250" s="24"/>
      <c r="G1250" s="24"/>
      <c r="H1250" s="24"/>
      <c r="I1250" s="24"/>
      <c r="J1250" s="24" t="str">
        <f t="shared" si="37"/>
        <v/>
      </c>
      <c r="K1250" s="24">
        <f t="shared" si="38"/>
        <v>980</v>
      </c>
    </row>
    <row r="1251" spans="1:11">
      <c r="A1251" s="35"/>
      <c r="B1251" s="24">
        <v>41</v>
      </c>
      <c r="E1251" s="24"/>
      <c r="F1251" s="24"/>
      <c r="G1251" s="24"/>
      <c r="H1251" s="24"/>
      <c r="I1251" s="24"/>
      <c r="J1251" s="24" t="str">
        <f t="shared" si="37"/>
        <v/>
      </c>
      <c r="K1251" s="24">
        <f t="shared" si="38"/>
        <v>980</v>
      </c>
    </row>
    <row r="1252" spans="1:11">
      <c r="A1252" s="35"/>
      <c r="B1252" s="24">
        <v>42</v>
      </c>
      <c r="E1252" s="24"/>
      <c r="F1252" s="24"/>
      <c r="G1252" s="24"/>
      <c r="H1252" s="24"/>
      <c r="I1252" s="24"/>
      <c r="J1252" s="24" t="str">
        <f t="shared" si="37"/>
        <v/>
      </c>
      <c r="K1252" s="24">
        <f t="shared" si="38"/>
        <v>980</v>
      </c>
    </row>
    <row r="1253" spans="1:11">
      <c r="A1253" s="35"/>
      <c r="B1253" s="24">
        <v>43</v>
      </c>
      <c r="E1253" s="24"/>
      <c r="F1253" s="24"/>
      <c r="G1253" s="24"/>
      <c r="H1253" s="24"/>
      <c r="I1253" s="24"/>
      <c r="J1253" s="24" t="str">
        <f t="shared" si="37"/>
        <v/>
      </c>
      <c r="K1253" s="24">
        <f t="shared" si="38"/>
        <v>980</v>
      </c>
    </row>
    <row r="1254" spans="1:11">
      <c r="A1254" s="35"/>
      <c r="B1254" s="24">
        <v>44</v>
      </c>
      <c r="G1254" s="24"/>
      <c r="H1254" s="24"/>
      <c r="I1254" s="24"/>
      <c r="J1254" s="24" t="str">
        <f t="shared" si="37"/>
        <v/>
      </c>
      <c r="K1254" s="24">
        <f t="shared" si="38"/>
        <v>980</v>
      </c>
    </row>
    <row r="1255" spans="1:11">
      <c r="A1255" s="35"/>
      <c r="B1255" s="24">
        <v>45</v>
      </c>
      <c r="G1255" s="24"/>
      <c r="H1255" s="24"/>
      <c r="I1255" s="24"/>
      <c r="J1255" s="24" t="str">
        <f t="shared" si="37"/>
        <v/>
      </c>
      <c r="K1255" s="24">
        <f t="shared" si="38"/>
        <v>980</v>
      </c>
    </row>
    <row r="1256" spans="1:11">
      <c r="A1256" s="35"/>
      <c r="B1256" s="24">
        <v>46</v>
      </c>
      <c r="G1256" s="24"/>
      <c r="H1256" s="24"/>
      <c r="I1256" s="24"/>
      <c r="J1256" s="24" t="str">
        <f t="shared" si="37"/>
        <v/>
      </c>
      <c r="K1256" s="24">
        <f t="shared" si="38"/>
        <v>980</v>
      </c>
    </row>
    <row r="1257" spans="1:11">
      <c r="A1257" s="35"/>
      <c r="B1257" s="24">
        <v>47</v>
      </c>
      <c r="E1257" s="24"/>
      <c r="F1257" s="24"/>
      <c r="G1257" s="24"/>
      <c r="H1257" s="24"/>
      <c r="I1257" s="24"/>
      <c r="J1257" s="24" t="str">
        <f t="shared" si="37"/>
        <v/>
      </c>
      <c r="K1257" s="24">
        <f t="shared" si="38"/>
        <v>980</v>
      </c>
    </row>
    <row r="1258" spans="1:11">
      <c r="A1258" s="35"/>
      <c r="B1258" s="24">
        <v>48</v>
      </c>
      <c r="E1258" s="24"/>
      <c r="F1258" s="24"/>
      <c r="G1258" s="24"/>
      <c r="H1258" s="24"/>
      <c r="I1258" s="24"/>
      <c r="J1258" s="24" t="str">
        <f t="shared" si="37"/>
        <v/>
      </c>
      <c r="K1258" s="24">
        <f t="shared" si="38"/>
        <v>980</v>
      </c>
    </row>
    <row r="1259" spans="1:11">
      <c r="A1259" s="35"/>
      <c r="B1259" s="24">
        <v>49</v>
      </c>
      <c r="F1259" s="24"/>
      <c r="G1259" s="24"/>
      <c r="H1259" s="24"/>
      <c r="I1259" s="24"/>
      <c r="J1259" s="24" t="str">
        <f t="shared" si="37"/>
        <v/>
      </c>
      <c r="K1259" s="24">
        <f t="shared" si="38"/>
        <v>980</v>
      </c>
    </row>
    <row r="1260" spans="1:11">
      <c r="A1260" s="35"/>
      <c r="B1260" s="24">
        <v>50</v>
      </c>
      <c r="F1260" s="24"/>
      <c r="G1260" s="24"/>
      <c r="H1260" s="24"/>
      <c r="I1260" s="24"/>
      <c r="J1260" s="24" t="str">
        <f t="shared" si="37"/>
        <v/>
      </c>
      <c r="K1260" s="24">
        <f t="shared" si="38"/>
        <v>980</v>
      </c>
    </row>
    <row r="1261" spans="1:11">
      <c r="A1261" s="35"/>
      <c r="B1261" s="24">
        <v>51</v>
      </c>
      <c r="E1261" s="24"/>
      <c r="F1261" s="24"/>
      <c r="G1261" s="24"/>
      <c r="H1261" s="24"/>
      <c r="I1261" s="24"/>
      <c r="J1261" s="24" t="str">
        <f t="shared" si="37"/>
        <v/>
      </c>
      <c r="K1261" s="24">
        <f t="shared" si="38"/>
        <v>980</v>
      </c>
    </row>
    <row r="1262" spans="1:11">
      <c r="A1262" s="35"/>
      <c r="B1262" s="24">
        <v>52</v>
      </c>
      <c r="C1262" s="23"/>
      <c r="D1262" s="23"/>
      <c r="E1262" s="24"/>
      <c r="F1262" s="24"/>
      <c r="G1262" s="24"/>
      <c r="H1262" s="24"/>
      <c r="I1262" s="24"/>
      <c r="J1262" s="24" t="str">
        <f t="shared" si="37"/>
        <v/>
      </c>
      <c r="K1262" s="24">
        <f t="shared" si="38"/>
        <v>980</v>
      </c>
    </row>
    <row r="1263" spans="1:11">
      <c r="A1263" s="35"/>
      <c r="B1263" s="24">
        <v>53</v>
      </c>
      <c r="C1263" s="23"/>
      <c r="D1263" s="23"/>
      <c r="E1263" s="24"/>
      <c r="F1263" s="24"/>
      <c r="G1263" s="24"/>
      <c r="H1263" s="24"/>
      <c r="I1263" s="24"/>
      <c r="J1263" s="24" t="str">
        <f t="shared" si="37"/>
        <v/>
      </c>
      <c r="K1263" s="24">
        <f t="shared" si="38"/>
        <v>980</v>
      </c>
    </row>
    <row r="1264" spans="1:11">
      <c r="A1264" s="35"/>
      <c r="B1264" s="24">
        <v>54</v>
      </c>
      <c r="C1264" s="23"/>
      <c r="D1264" s="23"/>
      <c r="E1264" s="24"/>
      <c r="F1264" s="24"/>
      <c r="G1264" s="24"/>
      <c r="H1264" s="24"/>
      <c r="I1264" s="24"/>
      <c r="J1264" s="24" t="str">
        <f t="shared" si="37"/>
        <v/>
      </c>
      <c r="K1264" s="24">
        <f t="shared" si="38"/>
        <v>980</v>
      </c>
    </row>
    <row r="1265" spans="1:11">
      <c r="A1265" s="35"/>
      <c r="B1265" s="24">
        <v>55</v>
      </c>
      <c r="C1265" s="23"/>
      <c r="D1265" s="23"/>
      <c r="E1265" s="24"/>
      <c r="F1265" s="24"/>
      <c r="G1265" s="24"/>
      <c r="H1265" s="24"/>
      <c r="I1265" s="24"/>
      <c r="J1265" s="24" t="str">
        <f t="shared" si="37"/>
        <v/>
      </c>
      <c r="K1265" s="24">
        <f t="shared" si="38"/>
        <v>980</v>
      </c>
    </row>
    <row r="1266" spans="1:11">
      <c r="A1266" s="35"/>
      <c r="B1266" s="24">
        <v>56</v>
      </c>
      <c r="C1266" s="23"/>
      <c r="D1266" s="23"/>
      <c r="E1266" s="24"/>
      <c r="F1266" s="24"/>
      <c r="G1266" s="24"/>
      <c r="H1266" s="24"/>
      <c r="I1266" s="24"/>
      <c r="J1266" s="24" t="str">
        <f t="shared" si="37"/>
        <v/>
      </c>
      <c r="K1266" s="24">
        <f t="shared" si="38"/>
        <v>980</v>
      </c>
    </row>
    <row r="1267" spans="1:11">
      <c r="A1267" s="35"/>
      <c r="B1267" s="24">
        <v>57</v>
      </c>
      <c r="C1267" s="23"/>
      <c r="D1267" s="23"/>
      <c r="E1267" s="24"/>
      <c r="F1267" s="24"/>
      <c r="G1267" s="24"/>
      <c r="H1267" s="24"/>
      <c r="I1267" s="24"/>
      <c r="J1267" s="24" t="str">
        <f t="shared" si="37"/>
        <v/>
      </c>
      <c r="K1267" s="24">
        <f t="shared" si="38"/>
        <v>980</v>
      </c>
    </row>
    <row r="1268" spans="1:11">
      <c r="A1268" s="35"/>
      <c r="B1268" s="24">
        <v>58</v>
      </c>
      <c r="C1268" s="23"/>
      <c r="D1268" s="23"/>
      <c r="E1268" s="24"/>
      <c r="F1268" s="24"/>
      <c r="G1268" s="24"/>
      <c r="H1268" s="24"/>
      <c r="I1268" s="24"/>
      <c r="J1268" s="24" t="str">
        <f t="shared" si="37"/>
        <v/>
      </c>
      <c r="K1268" s="24">
        <f t="shared" si="38"/>
        <v>980</v>
      </c>
    </row>
    <row r="1269" spans="1:11">
      <c r="A1269" s="35"/>
      <c r="B1269" s="24">
        <v>59</v>
      </c>
      <c r="C1269" s="23"/>
      <c r="D1269" s="23"/>
      <c r="E1269" s="24"/>
      <c r="F1269" s="24"/>
      <c r="G1269" s="24"/>
      <c r="H1269" s="24"/>
      <c r="I1269" s="24"/>
      <c r="J1269" s="24" t="str">
        <f t="shared" si="37"/>
        <v/>
      </c>
      <c r="K1269" s="24">
        <f t="shared" si="38"/>
        <v>980</v>
      </c>
    </row>
    <row r="1270" spans="1:11">
      <c r="A1270" s="35"/>
      <c r="B1270" s="24">
        <v>60</v>
      </c>
      <c r="C1270" s="23"/>
      <c r="D1270" s="23"/>
      <c r="E1270" s="24"/>
      <c r="F1270" s="24"/>
      <c r="G1270" s="24"/>
      <c r="H1270" s="24"/>
      <c r="I1270" s="24"/>
      <c r="J1270" s="24" t="str">
        <f t="shared" si="37"/>
        <v/>
      </c>
      <c r="K1270" s="24">
        <f t="shared" si="38"/>
        <v>980</v>
      </c>
    </row>
    <row r="1271" spans="1:11">
      <c r="A1271" s="35"/>
      <c r="B1271" s="34"/>
      <c r="C1271" s="34"/>
      <c r="D1271" s="34"/>
      <c r="E1271" s="34"/>
      <c r="F1271" s="34"/>
      <c r="G1271" s="34"/>
      <c r="H1271" s="34"/>
      <c r="I1271" s="33" t="s">
        <v>31</v>
      </c>
      <c r="J1271" s="33"/>
      <c r="K1271" s="24">
        <f>SUM(K1211:K1270)</f>
        <v>40830</v>
      </c>
    </row>
    <row r="1272" spans="1:11">
      <c r="I1272" s="27"/>
      <c r="J1272" s="27"/>
      <c r="K1272" s="24"/>
    </row>
    <row r="1273" spans="1:11">
      <c r="I1273" s="27"/>
      <c r="J1273" s="27"/>
      <c r="K1273" s="24"/>
    </row>
    <row r="1275" spans="1:11">
      <c r="A1275" s="23">
        <v>20</v>
      </c>
      <c r="B1275" s="23" t="s">
        <v>0</v>
      </c>
      <c r="C1275" s="28" t="str">
        <f>IF('Navigation and Summary'!$B$28="", "", 'Navigation and Summary'!$B$28)</f>
        <v>BASIC 8A</v>
      </c>
      <c r="D1275" s="28"/>
      <c r="E1275" s="23" t="s">
        <v>37</v>
      </c>
      <c r="F1275" s="24">
        <f>IF('Navigation and Summary'!$C$28="", "", 'Navigation and Summary'!$C$28)</f>
        <v>980</v>
      </c>
      <c r="G1275" s="23" t="s">
        <v>34</v>
      </c>
      <c r="H1275" s="24" t="str">
        <f>IF(C1275="", "", 'Navigation and Summary'!$G$6)</f>
        <v>2025-26</v>
      </c>
    </row>
    <row r="1276" spans="1:11">
      <c r="A1276" s="35"/>
      <c r="B1276" s="35" t="s">
        <v>32</v>
      </c>
      <c r="C1276" s="35"/>
      <c r="D1276" s="35"/>
      <c r="E1276" s="35"/>
      <c r="F1276" s="35"/>
      <c r="G1276" s="35"/>
      <c r="H1276" s="35"/>
      <c r="I1276" s="23"/>
      <c r="J1276" s="23"/>
      <c r="K1276" s="23"/>
    </row>
    <row r="1277" spans="1:11" ht="28.5">
      <c r="A1277" s="35"/>
      <c r="B1277" s="25" t="s">
        <v>1</v>
      </c>
      <c r="C1277" s="25" t="s">
        <v>2</v>
      </c>
      <c r="D1277" s="25" t="s">
        <v>745</v>
      </c>
      <c r="E1277" s="25" t="s">
        <v>3</v>
      </c>
      <c r="F1277" s="25" t="s">
        <v>4</v>
      </c>
      <c r="G1277" s="25" t="s">
        <v>5</v>
      </c>
      <c r="H1277" s="25" t="s">
        <v>6</v>
      </c>
      <c r="I1277" s="25" t="s">
        <v>7</v>
      </c>
      <c r="J1277" s="25" t="s">
        <v>8</v>
      </c>
      <c r="K1277" s="25" t="s">
        <v>9</v>
      </c>
    </row>
    <row r="1278" spans="1:11">
      <c r="A1278" s="35"/>
      <c r="B1278" s="24">
        <v>1</v>
      </c>
      <c r="C1278" s="23" t="s">
        <v>556</v>
      </c>
      <c r="D1278" s="23" t="s">
        <v>747</v>
      </c>
      <c r="E1278" s="24">
        <v>300</v>
      </c>
      <c r="F1278" s="24"/>
      <c r="G1278" s="24"/>
      <c r="H1278" s="24"/>
      <c r="I1278" s="24"/>
      <c r="J1278" s="24">
        <f>IF(SUM(E1278:I1278)=0, "", SUM(E1278:I1278))</f>
        <v>300</v>
      </c>
      <c r="K1278" s="24">
        <f xml:space="preserve"> IFERROR(IF(($F$1275-J1278)=0, 0, ($F$1275-J1278)),$F$1275)</f>
        <v>680</v>
      </c>
    </row>
    <row r="1279" spans="1:11">
      <c r="A1279" s="35"/>
      <c r="B1279" s="24">
        <v>2</v>
      </c>
      <c r="C1279" s="23" t="s">
        <v>557</v>
      </c>
      <c r="D1279" s="23" t="s">
        <v>747</v>
      </c>
      <c r="E1279" s="24">
        <v>600</v>
      </c>
      <c r="F1279" s="24"/>
      <c r="G1279" s="24"/>
      <c r="H1279" s="24"/>
      <c r="I1279" s="24"/>
      <c r="J1279" s="24">
        <f t="shared" ref="J1279:J1337" si="39">IF(SUM(E1279:I1279)=0, "", SUM(E1279:I1279))</f>
        <v>600</v>
      </c>
      <c r="K1279" s="24">
        <f t="shared" ref="K1279:K1337" si="40" xml:space="preserve"> IFERROR(IF(($F$1275-J1279)=0, 0, ($F$1275-J1279)),$F$1275)</f>
        <v>380</v>
      </c>
    </row>
    <row r="1280" spans="1:11">
      <c r="A1280" s="35"/>
      <c r="B1280" s="24">
        <v>3</v>
      </c>
      <c r="C1280" s="23" t="s">
        <v>559</v>
      </c>
      <c r="D1280" s="23" t="s">
        <v>746</v>
      </c>
      <c r="E1280" s="24">
        <v>980</v>
      </c>
      <c r="F1280" s="24"/>
      <c r="G1280" s="24"/>
      <c r="H1280" s="24"/>
      <c r="I1280" s="24"/>
      <c r="J1280" s="24">
        <f t="shared" si="39"/>
        <v>980</v>
      </c>
      <c r="K1280" s="24">
        <f t="shared" si="40"/>
        <v>0</v>
      </c>
    </row>
    <row r="1281" spans="1:11">
      <c r="A1281" s="35"/>
      <c r="B1281" s="24">
        <v>4</v>
      </c>
      <c r="C1281" s="23" t="s">
        <v>560</v>
      </c>
      <c r="D1281" s="23" t="s">
        <v>747</v>
      </c>
      <c r="E1281" s="24">
        <v>980</v>
      </c>
      <c r="F1281" s="24"/>
      <c r="G1281" s="24"/>
      <c r="H1281" s="24"/>
      <c r="I1281" s="24"/>
      <c r="J1281" s="24">
        <f t="shared" si="39"/>
        <v>980</v>
      </c>
      <c r="K1281" s="24">
        <f t="shared" si="40"/>
        <v>0</v>
      </c>
    </row>
    <row r="1282" spans="1:11">
      <c r="A1282" s="35"/>
      <c r="B1282" s="24">
        <v>5</v>
      </c>
      <c r="C1282" s="23" t="s">
        <v>561</v>
      </c>
      <c r="D1282" s="23" t="s">
        <v>746</v>
      </c>
      <c r="E1282" s="24">
        <v>500</v>
      </c>
      <c r="F1282" s="24">
        <v>240</v>
      </c>
      <c r="G1282" s="24"/>
      <c r="H1282" s="24"/>
      <c r="I1282" s="24"/>
      <c r="J1282" s="24">
        <f t="shared" si="39"/>
        <v>740</v>
      </c>
      <c r="K1282" s="24">
        <f t="shared" si="40"/>
        <v>240</v>
      </c>
    </row>
    <row r="1283" spans="1:11">
      <c r="A1283" s="35"/>
      <c r="B1283" s="24">
        <v>6</v>
      </c>
      <c r="C1283" s="23" t="s">
        <v>562</v>
      </c>
      <c r="D1283" s="23" t="s">
        <v>747</v>
      </c>
      <c r="E1283" s="24">
        <v>500</v>
      </c>
      <c r="F1283" s="24">
        <v>300</v>
      </c>
      <c r="G1283" s="24"/>
      <c r="H1283" s="24"/>
      <c r="I1283" s="24"/>
      <c r="J1283" s="24">
        <f t="shared" si="39"/>
        <v>800</v>
      </c>
      <c r="K1283" s="24">
        <f t="shared" si="40"/>
        <v>180</v>
      </c>
    </row>
    <row r="1284" spans="1:11">
      <c r="A1284" s="35"/>
      <c r="B1284" s="24">
        <v>7</v>
      </c>
      <c r="C1284" s="23" t="s">
        <v>563</v>
      </c>
      <c r="D1284" s="23" t="s">
        <v>747</v>
      </c>
      <c r="E1284" s="24">
        <v>420</v>
      </c>
      <c r="F1284" s="24"/>
      <c r="G1284" s="24"/>
      <c r="H1284" s="24"/>
      <c r="I1284" s="24"/>
      <c r="J1284" s="24">
        <f t="shared" si="39"/>
        <v>420</v>
      </c>
      <c r="K1284" s="24">
        <f t="shared" si="40"/>
        <v>560</v>
      </c>
    </row>
    <row r="1285" spans="1:11">
      <c r="A1285" s="35"/>
      <c r="B1285" s="24">
        <v>8</v>
      </c>
      <c r="C1285" s="23" t="s">
        <v>564</v>
      </c>
      <c r="D1285" s="23" t="s">
        <v>746</v>
      </c>
      <c r="E1285" s="24">
        <v>500</v>
      </c>
      <c r="F1285" s="24">
        <v>480</v>
      </c>
      <c r="G1285" s="24"/>
      <c r="H1285" s="24"/>
      <c r="I1285" s="24"/>
      <c r="J1285" s="24">
        <f t="shared" si="39"/>
        <v>980</v>
      </c>
      <c r="K1285" s="24">
        <f t="shared" si="40"/>
        <v>0</v>
      </c>
    </row>
    <row r="1286" spans="1:11">
      <c r="A1286" s="35"/>
      <c r="B1286" s="24">
        <v>9</v>
      </c>
      <c r="C1286" s="23" t="s">
        <v>565</v>
      </c>
      <c r="D1286" s="23" t="s">
        <v>747</v>
      </c>
      <c r="E1286" s="24">
        <v>980</v>
      </c>
      <c r="F1286" s="24"/>
      <c r="G1286" s="24"/>
      <c r="H1286" s="24"/>
      <c r="I1286" s="24"/>
      <c r="J1286" s="24">
        <f t="shared" si="39"/>
        <v>980</v>
      </c>
      <c r="K1286" s="24">
        <f t="shared" si="40"/>
        <v>0</v>
      </c>
    </row>
    <row r="1287" spans="1:11">
      <c r="A1287" s="35"/>
      <c r="B1287" s="24">
        <v>10</v>
      </c>
      <c r="C1287" s="23" t="s">
        <v>566</v>
      </c>
      <c r="D1287" s="23" t="s">
        <v>746</v>
      </c>
      <c r="E1287" s="24">
        <v>200</v>
      </c>
      <c r="F1287" s="24">
        <v>300</v>
      </c>
      <c r="G1287" s="24"/>
      <c r="H1287" s="24"/>
      <c r="I1287" s="24"/>
      <c r="J1287" s="24">
        <f t="shared" si="39"/>
        <v>500</v>
      </c>
      <c r="K1287" s="24">
        <f t="shared" si="40"/>
        <v>480</v>
      </c>
    </row>
    <row r="1288" spans="1:11">
      <c r="A1288" s="35"/>
      <c r="B1288" s="24">
        <v>11</v>
      </c>
      <c r="C1288" s="23" t="s">
        <v>569</v>
      </c>
      <c r="D1288" s="23" t="s">
        <v>746</v>
      </c>
      <c r="E1288" s="24">
        <v>100</v>
      </c>
      <c r="F1288" s="24"/>
      <c r="G1288" s="24"/>
      <c r="H1288" s="24"/>
      <c r="I1288" s="24"/>
      <c r="J1288" s="24">
        <f t="shared" si="39"/>
        <v>100</v>
      </c>
      <c r="K1288" s="24">
        <f t="shared" si="40"/>
        <v>880</v>
      </c>
    </row>
    <row r="1289" spans="1:11">
      <c r="A1289" s="35"/>
      <c r="B1289" s="24">
        <v>12</v>
      </c>
      <c r="C1289" s="23" t="s">
        <v>570</v>
      </c>
      <c r="D1289" s="23" t="s">
        <v>747</v>
      </c>
      <c r="E1289" s="24">
        <v>500</v>
      </c>
      <c r="F1289" s="24"/>
      <c r="G1289" s="24"/>
      <c r="H1289" s="24"/>
      <c r="I1289" s="24"/>
      <c r="J1289" s="24">
        <f t="shared" si="39"/>
        <v>500</v>
      </c>
      <c r="K1289" s="24">
        <f t="shared" si="40"/>
        <v>480</v>
      </c>
    </row>
    <row r="1290" spans="1:11">
      <c r="A1290" s="35"/>
      <c r="B1290" s="24">
        <v>13</v>
      </c>
      <c r="C1290" s="23" t="s">
        <v>728</v>
      </c>
      <c r="D1290" s="23" t="s">
        <v>747</v>
      </c>
      <c r="E1290" s="24">
        <v>220</v>
      </c>
      <c r="F1290" s="24">
        <v>760</v>
      </c>
      <c r="G1290" s="24"/>
      <c r="H1290" s="24"/>
      <c r="I1290" s="24"/>
      <c r="J1290" s="24">
        <f t="shared" si="39"/>
        <v>980</v>
      </c>
      <c r="K1290" s="24">
        <f t="shared" si="40"/>
        <v>0</v>
      </c>
    </row>
    <row r="1291" spans="1:11">
      <c r="A1291" s="35"/>
      <c r="B1291" s="24">
        <v>14</v>
      </c>
      <c r="C1291" s="23" t="s">
        <v>571</v>
      </c>
      <c r="D1291" s="23" t="s">
        <v>746</v>
      </c>
      <c r="E1291" s="24">
        <v>200</v>
      </c>
      <c r="F1291" s="24"/>
      <c r="G1291" s="24"/>
      <c r="H1291" s="24"/>
      <c r="I1291" s="24"/>
      <c r="J1291" s="24">
        <f t="shared" si="39"/>
        <v>200</v>
      </c>
      <c r="K1291" s="24">
        <f t="shared" si="40"/>
        <v>780</v>
      </c>
    </row>
    <row r="1292" spans="1:11">
      <c r="A1292" s="35"/>
      <c r="B1292" s="24">
        <v>15</v>
      </c>
      <c r="C1292" s="23" t="s">
        <v>572</v>
      </c>
      <c r="D1292" s="23" t="s">
        <v>746</v>
      </c>
      <c r="E1292" s="24">
        <v>400</v>
      </c>
      <c r="F1292" s="24"/>
      <c r="G1292" s="24"/>
      <c r="H1292" s="24"/>
      <c r="I1292" s="24"/>
      <c r="J1292" s="24">
        <f t="shared" si="39"/>
        <v>400</v>
      </c>
      <c r="K1292" s="24">
        <f t="shared" si="40"/>
        <v>580</v>
      </c>
    </row>
    <row r="1293" spans="1:11">
      <c r="A1293" s="35"/>
      <c r="B1293" s="24">
        <v>16</v>
      </c>
      <c r="C1293" s="23" t="s">
        <v>573</v>
      </c>
      <c r="D1293" s="23" t="s">
        <v>747</v>
      </c>
      <c r="E1293" s="24">
        <v>300</v>
      </c>
      <c r="F1293" s="24"/>
      <c r="G1293" s="24"/>
      <c r="H1293" s="24"/>
      <c r="I1293" s="24"/>
      <c r="J1293" s="24">
        <f t="shared" si="39"/>
        <v>300</v>
      </c>
      <c r="K1293" s="24">
        <f t="shared" si="40"/>
        <v>680</v>
      </c>
    </row>
    <row r="1294" spans="1:11">
      <c r="A1294" s="35"/>
      <c r="B1294" s="24">
        <v>17</v>
      </c>
      <c r="C1294" s="23" t="s">
        <v>574</v>
      </c>
      <c r="D1294" s="23" t="s">
        <v>746</v>
      </c>
      <c r="E1294" s="24">
        <v>160</v>
      </c>
      <c r="F1294" s="24"/>
      <c r="G1294" s="24"/>
      <c r="H1294" s="24"/>
      <c r="I1294" s="24"/>
      <c r="J1294" s="24">
        <f t="shared" si="39"/>
        <v>160</v>
      </c>
      <c r="K1294" s="24">
        <f t="shared" si="40"/>
        <v>820</v>
      </c>
    </row>
    <row r="1295" spans="1:11">
      <c r="A1295" s="35"/>
      <c r="B1295" s="24">
        <v>18</v>
      </c>
      <c r="C1295" s="23" t="s">
        <v>575</v>
      </c>
      <c r="D1295" s="23" t="s">
        <v>747</v>
      </c>
      <c r="E1295" s="24">
        <v>500</v>
      </c>
      <c r="F1295" s="24"/>
      <c r="G1295" s="24"/>
      <c r="H1295" s="24"/>
      <c r="I1295" s="24"/>
      <c r="J1295" s="24">
        <f t="shared" si="39"/>
        <v>500</v>
      </c>
      <c r="K1295" s="24">
        <f t="shared" si="40"/>
        <v>480</v>
      </c>
    </row>
    <row r="1296" spans="1:11">
      <c r="A1296" s="35"/>
      <c r="B1296" s="24">
        <v>19</v>
      </c>
      <c r="C1296" s="23" t="s">
        <v>576</v>
      </c>
      <c r="D1296" s="23" t="s">
        <v>747</v>
      </c>
      <c r="E1296" s="24">
        <v>500</v>
      </c>
      <c r="F1296" s="24">
        <v>200</v>
      </c>
      <c r="G1296" s="24"/>
      <c r="H1296" s="24"/>
      <c r="I1296" s="24"/>
      <c r="J1296" s="24">
        <f t="shared" si="39"/>
        <v>700</v>
      </c>
      <c r="K1296" s="24">
        <f t="shared" si="40"/>
        <v>280</v>
      </c>
    </row>
    <row r="1297" spans="1:11">
      <c r="A1297" s="35"/>
      <c r="B1297" s="24">
        <v>20</v>
      </c>
      <c r="C1297" s="23" t="s">
        <v>577</v>
      </c>
      <c r="D1297" s="23" t="s">
        <v>747</v>
      </c>
      <c r="E1297" s="24">
        <v>300</v>
      </c>
      <c r="F1297" s="24"/>
      <c r="G1297" s="24"/>
      <c r="H1297" s="24"/>
      <c r="I1297" s="24"/>
      <c r="J1297" s="24">
        <f t="shared" si="39"/>
        <v>300</v>
      </c>
      <c r="K1297" s="24">
        <f t="shared" si="40"/>
        <v>680</v>
      </c>
    </row>
    <row r="1298" spans="1:11">
      <c r="A1298" s="35"/>
      <c r="B1298" s="24">
        <v>21</v>
      </c>
      <c r="C1298" s="23" t="s">
        <v>676</v>
      </c>
      <c r="D1298" s="23" t="s">
        <v>746</v>
      </c>
      <c r="E1298" s="24"/>
      <c r="F1298" s="24"/>
      <c r="G1298" s="24"/>
      <c r="H1298" s="24"/>
      <c r="I1298" s="24"/>
      <c r="J1298" s="24" t="str">
        <f t="shared" si="39"/>
        <v/>
      </c>
      <c r="K1298" s="24">
        <f t="shared" si="40"/>
        <v>980</v>
      </c>
    </row>
    <row r="1299" spans="1:11">
      <c r="A1299" s="35"/>
      <c r="B1299" s="24">
        <v>22</v>
      </c>
      <c r="C1299" s="23" t="s">
        <v>693</v>
      </c>
      <c r="D1299" s="23" t="s">
        <v>746</v>
      </c>
      <c r="E1299" s="24">
        <v>600</v>
      </c>
      <c r="F1299" s="24"/>
      <c r="G1299" s="24"/>
      <c r="H1299" s="24"/>
      <c r="I1299" s="24"/>
      <c r="J1299" s="24">
        <f t="shared" si="39"/>
        <v>600</v>
      </c>
      <c r="K1299" s="24">
        <f t="shared" si="40"/>
        <v>380</v>
      </c>
    </row>
    <row r="1300" spans="1:11">
      <c r="A1300" s="35"/>
      <c r="B1300" s="24">
        <v>23</v>
      </c>
      <c r="C1300" s="23" t="s">
        <v>578</v>
      </c>
      <c r="D1300" s="23" t="s">
        <v>747</v>
      </c>
      <c r="E1300" s="24">
        <v>400</v>
      </c>
      <c r="F1300" s="24">
        <v>150</v>
      </c>
      <c r="G1300" s="24"/>
      <c r="H1300" s="24"/>
      <c r="I1300" s="24"/>
      <c r="J1300" s="24">
        <f t="shared" si="39"/>
        <v>550</v>
      </c>
      <c r="K1300" s="24">
        <f t="shared" si="40"/>
        <v>430</v>
      </c>
    </row>
    <row r="1301" spans="1:11">
      <c r="A1301" s="35"/>
      <c r="B1301" s="24">
        <v>24</v>
      </c>
      <c r="C1301" s="23" t="s">
        <v>579</v>
      </c>
      <c r="D1301" s="23" t="s">
        <v>746</v>
      </c>
      <c r="E1301" s="24">
        <v>200</v>
      </c>
      <c r="F1301" s="24">
        <v>200</v>
      </c>
      <c r="G1301" s="24"/>
      <c r="H1301" s="24"/>
      <c r="I1301" s="24"/>
      <c r="J1301" s="24">
        <f t="shared" si="39"/>
        <v>400</v>
      </c>
      <c r="K1301" s="24">
        <f t="shared" si="40"/>
        <v>580</v>
      </c>
    </row>
    <row r="1302" spans="1:11">
      <c r="A1302" s="35"/>
      <c r="B1302" s="24">
        <v>25</v>
      </c>
      <c r="C1302" s="23" t="s">
        <v>580</v>
      </c>
      <c r="D1302" s="23" t="s">
        <v>746</v>
      </c>
      <c r="E1302" s="24">
        <v>400</v>
      </c>
      <c r="F1302" s="24">
        <v>400</v>
      </c>
      <c r="G1302" s="24"/>
      <c r="H1302" s="24"/>
      <c r="I1302" s="24"/>
      <c r="J1302" s="24">
        <f t="shared" si="39"/>
        <v>800</v>
      </c>
      <c r="K1302" s="24">
        <f t="shared" si="40"/>
        <v>180</v>
      </c>
    </row>
    <row r="1303" spans="1:11">
      <c r="A1303" s="35"/>
      <c r="B1303" s="24">
        <v>26</v>
      </c>
      <c r="C1303" s="23" t="s">
        <v>657</v>
      </c>
      <c r="D1303" s="23" t="s">
        <v>747</v>
      </c>
      <c r="E1303" s="24">
        <v>500</v>
      </c>
      <c r="F1303" s="24"/>
      <c r="G1303" s="24"/>
      <c r="H1303" s="24"/>
      <c r="I1303" s="24"/>
      <c r="J1303" s="24">
        <f t="shared" si="39"/>
        <v>500</v>
      </c>
      <c r="K1303" s="24">
        <f t="shared" si="40"/>
        <v>480</v>
      </c>
    </row>
    <row r="1304" spans="1:11">
      <c r="A1304" s="35"/>
      <c r="B1304" s="24">
        <v>27</v>
      </c>
      <c r="C1304" s="23" t="s">
        <v>732</v>
      </c>
      <c r="D1304" s="23" t="s">
        <v>746</v>
      </c>
      <c r="E1304" s="24">
        <v>980</v>
      </c>
      <c r="F1304" s="24"/>
      <c r="G1304" s="24"/>
      <c r="H1304" s="24"/>
      <c r="I1304" s="24"/>
      <c r="J1304" s="24">
        <f t="shared" si="39"/>
        <v>980</v>
      </c>
      <c r="K1304" s="24">
        <f t="shared" si="40"/>
        <v>0</v>
      </c>
    </row>
    <row r="1305" spans="1:11">
      <c r="A1305" s="35"/>
      <c r="B1305" s="24">
        <v>28</v>
      </c>
      <c r="C1305" s="23" t="s">
        <v>581</v>
      </c>
      <c r="D1305" s="23" t="s">
        <v>747</v>
      </c>
      <c r="E1305" s="24">
        <v>500</v>
      </c>
      <c r="F1305" s="24"/>
      <c r="G1305" s="24"/>
      <c r="H1305" s="24"/>
      <c r="I1305" s="24"/>
      <c r="J1305" s="24">
        <f t="shared" si="39"/>
        <v>500</v>
      </c>
      <c r="K1305" s="24">
        <f t="shared" si="40"/>
        <v>480</v>
      </c>
    </row>
    <row r="1306" spans="1:11">
      <c r="A1306" s="35"/>
      <c r="B1306" s="24">
        <v>29</v>
      </c>
      <c r="C1306" s="23" t="s">
        <v>582</v>
      </c>
      <c r="D1306" s="23" t="s">
        <v>747</v>
      </c>
      <c r="E1306" s="24">
        <v>500</v>
      </c>
      <c r="F1306" s="24"/>
      <c r="G1306" s="24"/>
      <c r="H1306" s="24"/>
      <c r="I1306" s="24"/>
      <c r="J1306" s="24">
        <f t="shared" si="39"/>
        <v>500</v>
      </c>
      <c r="K1306" s="24">
        <f t="shared" si="40"/>
        <v>480</v>
      </c>
    </row>
    <row r="1307" spans="1:11">
      <c r="A1307" s="35"/>
      <c r="B1307" s="24">
        <v>30</v>
      </c>
      <c r="C1307" s="23"/>
      <c r="D1307" s="23"/>
      <c r="E1307" s="24"/>
      <c r="F1307" s="24"/>
      <c r="G1307" s="24"/>
      <c r="H1307" s="24"/>
      <c r="I1307" s="24"/>
      <c r="J1307" s="24" t="str">
        <f t="shared" si="39"/>
        <v/>
      </c>
      <c r="K1307" s="24">
        <f t="shared" si="40"/>
        <v>980</v>
      </c>
    </row>
    <row r="1308" spans="1:11">
      <c r="A1308" s="35"/>
      <c r="B1308" s="24">
        <v>31</v>
      </c>
      <c r="C1308" s="23"/>
      <c r="D1308" s="23"/>
      <c r="E1308" s="24"/>
      <c r="F1308" s="24"/>
      <c r="G1308" s="24"/>
      <c r="H1308" s="24"/>
      <c r="I1308" s="24"/>
      <c r="J1308" s="24" t="str">
        <f t="shared" si="39"/>
        <v/>
      </c>
      <c r="K1308" s="24">
        <f t="shared" si="40"/>
        <v>980</v>
      </c>
    </row>
    <row r="1309" spans="1:11">
      <c r="A1309" s="35"/>
      <c r="B1309" s="24">
        <v>32</v>
      </c>
      <c r="C1309" s="23"/>
      <c r="D1309" s="23"/>
      <c r="E1309" s="24"/>
      <c r="F1309" s="24"/>
      <c r="G1309" s="24"/>
      <c r="H1309" s="24"/>
      <c r="I1309" s="24"/>
      <c r="J1309" s="24" t="str">
        <f t="shared" si="39"/>
        <v/>
      </c>
      <c r="K1309" s="24">
        <f t="shared" si="40"/>
        <v>980</v>
      </c>
    </row>
    <row r="1310" spans="1:11">
      <c r="A1310" s="35"/>
      <c r="B1310" s="24">
        <v>33</v>
      </c>
      <c r="C1310" s="23"/>
      <c r="D1310" s="23"/>
      <c r="E1310" s="24"/>
      <c r="F1310" s="24"/>
      <c r="G1310" s="24"/>
      <c r="H1310" s="24"/>
      <c r="I1310" s="24"/>
      <c r="J1310" s="24" t="str">
        <f t="shared" si="39"/>
        <v/>
      </c>
      <c r="K1310" s="24">
        <f t="shared" si="40"/>
        <v>980</v>
      </c>
    </row>
    <row r="1311" spans="1:11">
      <c r="A1311" s="35"/>
      <c r="B1311" s="24">
        <v>34</v>
      </c>
      <c r="C1311" s="23"/>
      <c r="D1311" s="23"/>
      <c r="E1311" s="24"/>
      <c r="F1311" s="24"/>
      <c r="G1311" s="24"/>
      <c r="H1311" s="24"/>
      <c r="I1311" s="24"/>
      <c r="J1311" s="24" t="str">
        <f t="shared" si="39"/>
        <v/>
      </c>
      <c r="K1311" s="24">
        <f t="shared" si="40"/>
        <v>980</v>
      </c>
    </row>
    <row r="1312" spans="1:11">
      <c r="A1312" s="35"/>
      <c r="B1312" s="24">
        <v>35</v>
      </c>
      <c r="C1312" s="23"/>
      <c r="D1312" s="23"/>
      <c r="E1312" s="24"/>
      <c r="F1312" s="24"/>
      <c r="G1312" s="24"/>
      <c r="H1312" s="24"/>
      <c r="I1312" s="24"/>
      <c r="J1312" s="24" t="str">
        <f t="shared" si="39"/>
        <v/>
      </c>
      <c r="K1312" s="24">
        <f t="shared" si="40"/>
        <v>980</v>
      </c>
    </row>
    <row r="1313" spans="1:11">
      <c r="A1313" s="35"/>
      <c r="B1313" s="24">
        <v>36</v>
      </c>
      <c r="C1313" s="23"/>
      <c r="D1313" s="23"/>
      <c r="E1313" s="24"/>
      <c r="F1313" s="24"/>
      <c r="G1313" s="24"/>
      <c r="H1313" s="24"/>
      <c r="I1313" s="24"/>
      <c r="J1313" s="24" t="str">
        <f t="shared" si="39"/>
        <v/>
      </c>
      <c r="K1313" s="24">
        <f t="shared" si="40"/>
        <v>980</v>
      </c>
    </row>
    <row r="1314" spans="1:11">
      <c r="A1314" s="35"/>
      <c r="B1314" s="24">
        <v>37</v>
      </c>
      <c r="C1314" s="23"/>
      <c r="D1314" s="23"/>
      <c r="E1314" s="24"/>
      <c r="F1314" s="24"/>
      <c r="G1314" s="24"/>
      <c r="H1314" s="24"/>
      <c r="I1314" s="24"/>
      <c r="J1314" s="24" t="str">
        <f t="shared" si="39"/>
        <v/>
      </c>
      <c r="K1314" s="24">
        <f t="shared" si="40"/>
        <v>980</v>
      </c>
    </row>
    <row r="1315" spans="1:11">
      <c r="A1315" s="35"/>
      <c r="B1315" s="24">
        <v>38</v>
      </c>
      <c r="C1315" s="23"/>
      <c r="D1315" s="23"/>
      <c r="E1315" s="24"/>
      <c r="F1315" s="24"/>
      <c r="G1315" s="24"/>
      <c r="H1315" s="24"/>
      <c r="I1315" s="24"/>
      <c r="J1315" s="24" t="str">
        <f t="shared" si="39"/>
        <v/>
      </c>
      <c r="K1315" s="24">
        <f t="shared" si="40"/>
        <v>980</v>
      </c>
    </row>
    <row r="1316" spans="1:11">
      <c r="A1316" s="35"/>
      <c r="B1316" s="24">
        <v>39</v>
      </c>
      <c r="C1316" s="23"/>
      <c r="D1316" s="23"/>
      <c r="E1316" s="24"/>
      <c r="F1316" s="24"/>
      <c r="G1316" s="24"/>
      <c r="H1316" s="24"/>
      <c r="I1316" s="24"/>
      <c r="J1316" s="24" t="str">
        <f t="shared" si="39"/>
        <v/>
      </c>
      <c r="K1316" s="24">
        <f t="shared" si="40"/>
        <v>980</v>
      </c>
    </row>
    <row r="1317" spans="1:11">
      <c r="A1317" s="35"/>
      <c r="B1317" s="24">
        <v>40</v>
      </c>
      <c r="C1317" s="23"/>
      <c r="D1317" s="23"/>
      <c r="E1317" s="24"/>
      <c r="F1317" s="24"/>
      <c r="G1317" s="24"/>
      <c r="H1317" s="24"/>
      <c r="I1317" s="24"/>
      <c r="J1317" s="24" t="str">
        <f t="shared" si="39"/>
        <v/>
      </c>
      <c r="K1317" s="24">
        <f t="shared" si="40"/>
        <v>980</v>
      </c>
    </row>
    <row r="1318" spans="1:11">
      <c r="A1318" s="35"/>
      <c r="B1318" s="24">
        <v>41</v>
      </c>
      <c r="C1318" s="23"/>
      <c r="D1318" s="23"/>
      <c r="E1318" s="24"/>
      <c r="F1318" s="24"/>
      <c r="G1318" s="24"/>
      <c r="H1318" s="24"/>
      <c r="I1318" s="24"/>
      <c r="J1318" s="24" t="str">
        <f t="shared" si="39"/>
        <v/>
      </c>
      <c r="K1318" s="24">
        <f t="shared" si="40"/>
        <v>980</v>
      </c>
    </row>
    <row r="1319" spans="1:11">
      <c r="A1319" s="35"/>
      <c r="B1319" s="24">
        <v>42</v>
      </c>
      <c r="C1319" s="23"/>
      <c r="D1319" s="23"/>
      <c r="E1319" s="24"/>
      <c r="F1319" s="24"/>
      <c r="G1319" s="24"/>
      <c r="H1319" s="24"/>
      <c r="I1319" s="24"/>
      <c r="J1319" s="24" t="str">
        <f t="shared" si="39"/>
        <v/>
      </c>
      <c r="K1319" s="24">
        <f t="shared" si="40"/>
        <v>980</v>
      </c>
    </row>
    <row r="1320" spans="1:11">
      <c r="A1320" s="35"/>
      <c r="B1320" s="24">
        <v>43</v>
      </c>
      <c r="C1320" s="23"/>
      <c r="D1320" s="23"/>
      <c r="E1320" s="24"/>
      <c r="F1320" s="24"/>
      <c r="G1320" s="24"/>
      <c r="H1320" s="24"/>
      <c r="I1320" s="24"/>
      <c r="J1320" s="24" t="str">
        <f t="shared" si="39"/>
        <v/>
      </c>
      <c r="K1320" s="24">
        <f t="shared" si="40"/>
        <v>980</v>
      </c>
    </row>
    <row r="1321" spans="1:11">
      <c r="A1321" s="35"/>
      <c r="B1321" s="24">
        <v>44</v>
      </c>
      <c r="C1321" s="23"/>
      <c r="D1321" s="23"/>
      <c r="E1321" s="24"/>
      <c r="F1321" s="24"/>
      <c r="G1321" s="24"/>
      <c r="H1321" s="24"/>
      <c r="I1321" s="24"/>
      <c r="J1321" s="24" t="str">
        <f t="shared" si="39"/>
        <v/>
      </c>
      <c r="K1321" s="24">
        <f t="shared" si="40"/>
        <v>980</v>
      </c>
    </row>
    <row r="1322" spans="1:11">
      <c r="A1322" s="35"/>
      <c r="B1322" s="24">
        <v>45</v>
      </c>
      <c r="C1322" s="23"/>
      <c r="D1322" s="23"/>
      <c r="E1322" s="24"/>
      <c r="F1322" s="24"/>
      <c r="G1322" s="24"/>
      <c r="H1322" s="24"/>
      <c r="I1322" s="24"/>
      <c r="J1322" s="24" t="str">
        <f t="shared" si="39"/>
        <v/>
      </c>
      <c r="K1322" s="24">
        <f t="shared" si="40"/>
        <v>980</v>
      </c>
    </row>
    <row r="1323" spans="1:11">
      <c r="A1323" s="35"/>
      <c r="B1323" s="24">
        <v>46</v>
      </c>
      <c r="C1323" s="23"/>
      <c r="D1323" s="23"/>
      <c r="E1323" s="24"/>
      <c r="F1323" s="24"/>
      <c r="G1323" s="24"/>
      <c r="H1323" s="24"/>
      <c r="I1323" s="24"/>
      <c r="J1323" s="24" t="str">
        <f t="shared" si="39"/>
        <v/>
      </c>
      <c r="K1323" s="24">
        <f t="shared" si="40"/>
        <v>980</v>
      </c>
    </row>
    <row r="1324" spans="1:11">
      <c r="A1324" s="35"/>
      <c r="B1324" s="24">
        <v>47</v>
      </c>
      <c r="C1324" s="23"/>
      <c r="D1324" s="23"/>
      <c r="E1324" s="24"/>
      <c r="F1324" s="24"/>
      <c r="G1324" s="24"/>
      <c r="H1324" s="24"/>
      <c r="I1324" s="24"/>
      <c r="J1324" s="24" t="str">
        <f t="shared" si="39"/>
        <v/>
      </c>
      <c r="K1324" s="24">
        <f t="shared" si="40"/>
        <v>980</v>
      </c>
    </row>
    <row r="1325" spans="1:11">
      <c r="A1325" s="35"/>
      <c r="B1325" s="24">
        <v>48</v>
      </c>
      <c r="C1325" s="23"/>
      <c r="D1325" s="23"/>
      <c r="E1325" s="24"/>
      <c r="F1325" s="24"/>
      <c r="G1325" s="24"/>
      <c r="H1325" s="24"/>
      <c r="I1325" s="24"/>
      <c r="J1325" s="24" t="str">
        <f t="shared" si="39"/>
        <v/>
      </c>
      <c r="K1325" s="24">
        <f t="shared" si="40"/>
        <v>980</v>
      </c>
    </row>
    <row r="1326" spans="1:11">
      <c r="A1326" s="35"/>
      <c r="B1326" s="24">
        <v>49</v>
      </c>
      <c r="C1326" s="23"/>
      <c r="D1326" s="23"/>
      <c r="E1326" s="24"/>
      <c r="F1326" s="24"/>
      <c r="G1326" s="24"/>
      <c r="H1326" s="24"/>
      <c r="I1326" s="24"/>
      <c r="J1326" s="24" t="str">
        <f t="shared" si="39"/>
        <v/>
      </c>
      <c r="K1326" s="24">
        <f t="shared" si="40"/>
        <v>980</v>
      </c>
    </row>
    <row r="1327" spans="1:11">
      <c r="A1327" s="35"/>
      <c r="B1327" s="24">
        <v>50</v>
      </c>
      <c r="C1327" s="23"/>
      <c r="D1327" s="23"/>
      <c r="E1327" s="24"/>
      <c r="F1327" s="24"/>
      <c r="G1327" s="24"/>
      <c r="H1327" s="24"/>
      <c r="I1327" s="24"/>
      <c r="J1327" s="24" t="str">
        <f t="shared" si="39"/>
        <v/>
      </c>
      <c r="K1327" s="24">
        <f t="shared" si="40"/>
        <v>980</v>
      </c>
    </row>
    <row r="1328" spans="1:11">
      <c r="A1328" s="35"/>
      <c r="B1328" s="24">
        <v>51</v>
      </c>
      <c r="C1328" s="23"/>
      <c r="D1328" s="23"/>
      <c r="E1328" s="24"/>
      <c r="F1328" s="24"/>
      <c r="G1328" s="24"/>
      <c r="H1328" s="24"/>
      <c r="I1328" s="24"/>
      <c r="J1328" s="24" t="str">
        <f t="shared" si="39"/>
        <v/>
      </c>
      <c r="K1328" s="24">
        <f t="shared" si="40"/>
        <v>980</v>
      </c>
    </row>
    <row r="1329" spans="1:11">
      <c r="A1329" s="35"/>
      <c r="B1329" s="24">
        <v>52</v>
      </c>
      <c r="C1329" s="23"/>
      <c r="D1329" s="23"/>
      <c r="E1329" s="24"/>
      <c r="F1329" s="24"/>
      <c r="G1329" s="24"/>
      <c r="H1329" s="24"/>
      <c r="I1329" s="24"/>
      <c r="J1329" s="24" t="str">
        <f t="shared" si="39"/>
        <v/>
      </c>
      <c r="K1329" s="24">
        <f t="shared" si="40"/>
        <v>980</v>
      </c>
    </row>
    <row r="1330" spans="1:11">
      <c r="A1330" s="35"/>
      <c r="B1330" s="24">
        <v>53</v>
      </c>
      <c r="C1330" s="23"/>
      <c r="D1330" s="23"/>
      <c r="E1330" s="24"/>
      <c r="F1330" s="24"/>
      <c r="G1330" s="24"/>
      <c r="H1330" s="24"/>
      <c r="I1330" s="24"/>
      <c r="J1330" s="24" t="str">
        <f t="shared" si="39"/>
        <v/>
      </c>
      <c r="K1330" s="24">
        <f t="shared" si="40"/>
        <v>980</v>
      </c>
    </row>
    <row r="1331" spans="1:11">
      <c r="A1331" s="35"/>
      <c r="B1331" s="24">
        <v>54</v>
      </c>
      <c r="C1331" s="23"/>
      <c r="D1331" s="23"/>
      <c r="E1331" s="24"/>
      <c r="F1331" s="24"/>
      <c r="G1331" s="24"/>
      <c r="H1331" s="24"/>
      <c r="I1331" s="24"/>
      <c r="J1331" s="24" t="str">
        <f t="shared" si="39"/>
        <v/>
      </c>
      <c r="K1331" s="24">
        <f t="shared" si="40"/>
        <v>980</v>
      </c>
    </row>
    <row r="1332" spans="1:11">
      <c r="A1332" s="35"/>
      <c r="B1332" s="24">
        <v>55</v>
      </c>
      <c r="C1332" s="23"/>
      <c r="D1332" s="23"/>
      <c r="E1332" s="24"/>
      <c r="F1332" s="24"/>
      <c r="G1332" s="24"/>
      <c r="H1332" s="24"/>
      <c r="I1332" s="24"/>
      <c r="J1332" s="24" t="str">
        <f t="shared" si="39"/>
        <v/>
      </c>
      <c r="K1332" s="24">
        <f t="shared" si="40"/>
        <v>980</v>
      </c>
    </row>
    <row r="1333" spans="1:11">
      <c r="A1333" s="35"/>
      <c r="B1333" s="24">
        <v>56</v>
      </c>
      <c r="C1333" s="23"/>
      <c r="D1333" s="23"/>
      <c r="E1333" s="24"/>
      <c r="F1333" s="24"/>
      <c r="G1333" s="24"/>
      <c r="H1333" s="24"/>
      <c r="I1333" s="24"/>
      <c r="J1333" s="24" t="str">
        <f t="shared" si="39"/>
        <v/>
      </c>
      <c r="K1333" s="24">
        <f t="shared" si="40"/>
        <v>980</v>
      </c>
    </row>
    <row r="1334" spans="1:11">
      <c r="A1334" s="35"/>
      <c r="B1334" s="24">
        <v>57</v>
      </c>
      <c r="C1334" s="23"/>
      <c r="D1334" s="23"/>
      <c r="E1334" s="24"/>
      <c r="F1334" s="24"/>
      <c r="G1334" s="24"/>
      <c r="H1334" s="24"/>
      <c r="I1334" s="24"/>
      <c r="J1334" s="24" t="str">
        <f t="shared" si="39"/>
        <v/>
      </c>
      <c r="K1334" s="24">
        <f t="shared" si="40"/>
        <v>980</v>
      </c>
    </row>
    <row r="1335" spans="1:11">
      <c r="A1335" s="35"/>
      <c r="B1335" s="24">
        <v>58</v>
      </c>
      <c r="C1335" s="23"/>
      <c r="D1335" s="23"/>
      <c r="E1335" s="24"/>
      <c r="F1335" s="24"/>
      <c r="G1335" s="24"/>
      <c r="H1335" s="24"/>
      <c r="I1335" s="24"/>
      <c r="J1335" s="24" t="str">
        <f t="shared" si="39"/>
        <v/>
      </c>
      <c r="K1335" s="24">
        <f t="shared" si="40"/>
        <v>980</v>
      </c>
    </row>
    <row r="1336" spans="1:11">
      <c r="A1336" s="35"/>
      <c r="B1336" s="24">
        <v>59</v>
      </c>
      <c r="C1336" s="23"/>
      <c r="D1336" s="23"/>
      <c r="E1336" s="24"/>
      <c r="F1336" s="24"/>
      <c r="G1336" s="24"/>
      <c r="H1336" s="24"/>
      <c r="I1336" s="24"/>
      <c r="J1336" s="24" t="str">
        <f t="shared" si="39"/>
        <v/>
      </c>
      <c r="K1336" s="24">
        <f t="shared" si="40"/>
        <v>980</v>
      </c>
    </row>
    <row r="1337" spans="1:11">
      <c r="A1337" s="35"/>
      <c r="B1337" s="24">
        <v>60</v>
      </c>
      <c r="C1337" s="23"/>
      <c r="D1337" s="23"/>
      <c r="E1337" s="24"/>
      <c r="F1337" s="24"/>
      <c r="G1337" s="24"/>
      <c r="H1337" s="24"/>
      <c r="I1337" s="24"/>
      <c r="J1337" s="24" t="str">
        <f t="shared" si="39"/>
        <v/>
      </c>
      <c r="K1337" s="24">
        <f t="shared" si="40"/>
        <v>980</v>
      </c>
    </row>
    <row r="1338" spans="1:11">
      <c r="A1338" s="35"/>
      <c r="B1338" s="34"/>
      <c r="C1338" s="34"/>
      <c r="D1338" s="34"/>
      <c r="E1338" s="34"/>
      <c r="F1338" s="34"/>
      <c r="G1338" s="34"/>
      <c r="H1338" s="34"/>
      <c r="I1338" s="33" t="s">
        <v>31</v>
      </c>
      <c r="J1338" s="33"/>
      <c r="K1338" s="24">
        <f>SUM(K1278:K1337)</f>
        <v>42550</v>
      </c>
    </row>
    <row r="1342" spans="1:11">
      <c r="A1342" s="23">
        <v>21</v>
      </c>
      <c r="B1342" s="23" t="s">
        <v>0</v>
      </c>
      <c r="C1342" s="28" t="str">
        <f>IF('Navigation and Summary'!$B$29="", "", 'Navigation and Summary'!$B$29)</f>
        <v>BASIC 8B</v>
      </c>
      <c r="D1342" s="28"/>
      <c r="E1342" s="23" t="s">
        <v>37</v>
      </c>
      <c r="F1342" s="24">
        <f>IF('Navigation and Summary'!$C$29="", "",  'Navigation and Summary'!$C$29)</f>
        <v>980</v>
      </c>
      <c r="G1342" s="23" t="s">
        <v>34</v>
      </c>
      <c r="H1342" s="24" t="str">
        <f>IF(C1342="", "", 'Navigation and Summary'!$G$6)</f>
        <v>2025-26</v>
      </c>
    </row>
    <row r="1343" spans="1:11">
      <c r="A1343" s="35"/>
      <c r="B1343" s="35" t="s">
        <v>32</v>
      </c>
      <c r="C1343" s="35"/>
      <c r="D1343" s="35"/>
      <c r="E1343" s="35"/>
      <c r="F1343" s="35"/>
      <c r="G1343" s="35"/>
      <c r="H1343" s="35"/>
      <c r="I1343" s="23"/>
      <c r="J1343" s="23"/>
      <c r="K1343" s="23"/>
    </row>
    <row r="1344" spans="1:11" ht="28.5">
      <c r="A1344" s="35"/>
      <c r="B1344" s="25" t="s">
        <v>1</v>
      </c>
      <c r="C1344" s="25" t="s">
        <v>2</v>
      </c>
      <c r="D1344" s="25" t="s">
        <v>745</v>
      </c>
      <c r="E1344" s="25" t="s">
        <v>3</v>
      </c>
      <c r="F1344" s="25" t="s">
        <v>4</v>
      </c>
      <c r="G1344" s="25" t="s">
        <v>5</v>
      </c>
      <c r="H1344" s="25" t="s">
        <v>6</v>
      </c>
      <c r="I1344" s="25" t="s">
        <v>7</v>
      </c>
      <c r="J1344" s="25" t="s">
        <v>8</v>
      </c>
      <c r="K1344" s="25" t="s">
        <v>9</v>
      </c>
    </row>
    <row r="1345" spans="1:11">
      <c r="A1345" s="35"/>
      <c r="B1345" s="24">
        <v>1</v>
      </c>
      <c r="C1345" s="23" t="s">
        <v>683</v>
      </c>
      <c r="D1345" s="23" t="s">
        <v>747</v>
      </c>
      <c r="E1345" s="24">
        <v>500</v>
      </c>
      <c r="F1345" s="24">
        <v>200</v>
      </c>
      <c r="G1345" s="24"/>
      <c r="H1345" s="24"/>
      <c r="I1345" s="24"/>
      <c r="J1345" s="24">
        <f>IF(SUM(E1345:I1345)=0, "", SUM(E1345:I1345))</f>
        <v>700</v>
      </c>
      <c r="K1345" s="24">
        <f xml:space="preserve"> IFERROR(IF(($F$1342-J1345)=0, 0, ($F$1342-J1345)),$F$1342)</f>
        <v>280</v>
      </c>
    </row>
    <row r="1346" spans="1:11">
      <c r="A1346" s="35"/>
      <c r="B1346" s="24">
        <v>2</v>
      </c>
      <c r="C1346" s="23" t="s">
        <v>583</v>
      </c>
      <c r="D1346" s="23" t="s">
        <v>747</v>
      </c>
      <c r="E1346" s="24">
        <v>500</v>
      </c>
      <c r="F1346" s="24"/>
      <c r="G1346" s="24"/>
      <c r="H1346" s="24"/>
      <c r="I1346" s="24"/>
      <c r="J1346" s="24">
        <f t="shared" ref="J1346:J1404" si="41">IF(SUM(E1346:I1346)=0, "", SUM(E1346:I1346))</f>
        <v>500</v>
      </c>
      <c r="K1346" s="24">
        <f t="shared" ref="K1346:K1404" si="42" xml:space="preserve"> IFERROR(IF(($F$1342-J1346)=0, 0, ($F$1342-J1346)),$F$1342)</f>
        <v>480</v>
      </c>
    </row>
    <row r="1347" spans="1:11">
      <c r="A1347" s="35"/>
      <c r="B1347" s="24">
        <v>3</v>
      </c>
      <c r="C1347" s="23" t="s">
        <v>584</v>
      </c>
      <c r="D1347" s="23" t="s">
        <v>746</v>
      </c>
      <c r="E1347" s="24">
        <v>300</v>
      </c>
      <c r="F1347" s="24"/>
      <c r="G1347" s="24"/>
      <c r="H1347" s="24"/>
      <c r="I1347" s="24"/>
      <c r="J1347" s="24">
        <f t="shared" si="41"/>
        <v>300</v>
      </c>
      <c r="K1347" s="24">
        <f t="shared" si="42"/>
        <v>680</v>
      </c>
    </row>
    <row r="1348" spans="1:11">
      <c r="A1348" s="35"/>
      <c r="B1348" s="24">
        <v>4</v>
      </c>
      <c r="C1348" s="23" t="s">
        <v>585</v>
      </c>
      <c r="D1348" s="23" t="s">
        <v>747</v>
      </c>
      <c r="E1348" s="24">
        <v>490</v>
      </c>
      <c r="F1348" s="24"/>
      <c r="G1348" s="24"/>
      <c r="H1348" s="24"/>
      <c r="I1348" s="24"/>
      <c r="J1348" s="24">
        <f t="shared" si="41"/>
        <v>490</v>
      </c>
      <c r="K1348" s="24">
        <f t="shared" si="42"/>
        <v>490</v>
      </c>
    </row>
    <row r="1349" spans="1:11">
      <c r="A1349" s="35"/>
      <c r="B1349" s="24">
        <v>5</v>
      </c>
      <c r="C1349" s="23" t="s">
        <v>558</v>
      </c>
      <c r="D1349" s="23" t="s">
        <v>746</v>
      </c>
      <c r="E1349" s="24">
        <v>500</v>
      </c>
      <c r="F1349" s="24"/>
      <c r="G1349" s="24"/>
      <c r="H1349" s="24"/>
      <c r="I1349" s="24"/>
      <c r="J1349" s="24">
        <f t="shared" si="41"/>
        <v>500</v>
      </c>
      <c r="K1349" s="24">
        <f t="shared" si="42"/>
        <v>480</v>
      </c>
    </row>
    <row r="1350" spans="1:11">
      <c r="A1350" s="35"/>
      <c r="B1350" s="24">
        <v>6</v>
      </c>
      <c r="C1350" s="23" t="s">
        <v>586</v>
      </c>
      <c r="D1350" s="23" t="s">
        <v>746</v>
      </c>
      <c r="E1350" s="24">
        <v>300</v>
      </c>
      <c r="F1350" s="24">
        <v>400</v>
      </c>
      <c r="G1350" s="24"/>
      <c r="H1350" s="24"/>
      <c r="I1350" s="24"/>
      <c r="J1350" s="24">
        <f t="shared" si="41"/>
        <v>700</v>
      </c>
      <c r="K1350" s="24">
        <f t="shared" si="42"/>
        <v>280</v>
      </c>
    </row>
    <row r="1351" spans="1:11">
      <c r="A1351" s="35"/>
      <c r="B1351" s="24">
        <v>7</v>
      </c>
      <c r="C1351" s="23" t="s">
        <v>587</v>
      </c>
      <c r="D1351" s="23" t="s">
        <v>747</v>
      </c>
      <c r="E1351" s="24"/>
      <c r="F1351" s="24"/>
      <c r="G1351" s="24"/>
      <c r="H1351" s="24"/>
      <c r="I1351" s="24"/>
      <c r="J1351" s="24" t="str">
        <f t="shared" si="41"/>
        <v/>
      </c>
      <c r="K1351" s="24">
        <f t="shared" si="42"/>
        <v>980</v>
      </c>
    </row>
    <row r="1352" spans="1:11">
      <c r="A1352" s="35"/>
      <c r="B1352" s="24">
        <v>8</v>
      </c>
      <c r="C1352" s="23" t="s">
        <v>588</v>
      </c>
      <c r="D1352" s="23" t="s">
        <v>746</v>
      </c>
      <c r="E1352" s="24">
        <v>300</v>
      </c>
      <c r="F1352" s="24">
        <v>250</v>
      </c>
      <c r="G1352" s="24"/>
      <c r="H1352" s="24"/>
      <c r="I1352" s="24"/>
      <c r="J1352" s="24">
        <f t="shared" si="41"/>
        <v>550</v>
      </c>
      <c r="K1352" s="24">
        <f t="shared" si="42"/>
        <v>430</v>
      </c>
    </row>
    <row r="1353" spans="1:11">
      <c r="A1353" s="35"/>
      <c r="B1353" s="24">
        <v>9</v>
      </c>
      <c r="C1353" s="23" t="s">
        <v>589</v>
      </c>
      <c r="D1353" s="23" t="s">
        <v>746</v>
      </c>
      <c r="E1353" s="24">
        <v>500</v>
      </c>
      <c r="F1353" s="24"/>
      <c r="G1353" s="24"/>
      <c r="H1353" s="24"/>
      <c r="I1353" s="24"/>
      <c r="J1353" s="24">
        <f t="shared" si="41"/>
        <v>500</v>
      </c>
      <c r="K1353" s="24">
        <f t="shared" si="42"/>
        <v>480</v>
      </c>
    </row>
    <row r="1354" spans="1:11">
      <c r="A1354" s="35"/>
      <c r="B1354" s="24">
        <v>10</v>
      </c>
      <c r="C1354" s="23" t="s">
        <v>567</v>
      </c>
      <c r="D1354" s="23" t="s">
        <v>746</v>
      </c>
      <c r="E1354" s="24">
        <v>400</v>
      </c>
      <c r="F1354" s="24"/>
      <c r="G1354" s="24"/>
      <c r="H1354" s="24"/>
      <c r="I1354" s="24"/>
      <c r="J1354" s="24">
        <f t="shared" si="41"/>
        <v>400</v>
      </c>
      <c r="K1354" s="24">
        <f t="shared" si="42"/>
        <v>580</v>
      </c>
    </row>
    <row r="1355" spans="1:11">
      <c r="A1355" s="35"/>
      <c r="B1355" s="24">
        <v>11</v>
      </c>
      <c r="C1355" s="23" t="s">
        <v>568</v>
      </c>
      <c r="D1355" s="23" t="s">
        <v>747</v>
      </c>
      <c r="E1355" s="24">
        <v>500</v>
      </c>
      <c r="F1355" s="24"/>
      <c r="G1355" s="24"/>
      <c r="H1355" s="24"/>
      <c r="I1355" s="24"/>
      <c r="J1355" s="24">
        <f t="shared" si="41"/>
        <v>500</v>
      </c>
      <c r="K1355" s="24">
        <f t="shared" si="42"/>
        <v>480</v>
      </c>
    </row>
    <row r="1356" spans="1:11">
      <c r="A1356" s="35"/>
      <c r="B1356" s="24">
        <v>12</v>
      </c>
      <c r="C1356" s="23" t="s">
        <v>590</v>
      </c>
      <c r="D1356" s="23" t="s">
        <v>746</v>
      </c>
      <c r="E1356" s="24">
        <v>100</v>
      </c>
      <c r="F1356" s="24">
        <v>350</v>
      </c>
      <c r="G1356" s="24">
        <v>530</v>
      </c>
      <c r="H1356" s="24"/>
      <c r="I1356" s="24"/>
      <c r="J1356" s="24">
        <f t="shared" si="41"/>
        <v>980</v>
      </c>
      <c r="K1356" s="24">
        <f t="shared" si="42"/>
        <v>0</v>
      </c>
    </row>
    <row r="1357" spans="1:11">
      <c r="A1357" s="35"/>
      <c r="B1357" s="24">
        <v>13</v>
      </c>
      <c r="C1357" s="23" t="s">
        <v>629</v>
      </c>
      <c r="D1357" s="23" t="s">
        <v>746</v>
      </c>
      <c r="E1357" s="24">
        <v>300</v>
      </c>
      <c r="F1357" s="24">
        <v>300</v>
      </c>
      <c r="G1357" s="24"/>
      <c r="H1357" s="24"/>
      <c r="I1357" s="24"/>
      <c r="J1357" s="24">
        <f t="shared" si="41"/>
        <v>600</v>
      </c>
      <c r="K1357" s="24">
        <f t="shared" si="42"/>
        <v>380</v>
      </c>
    </row>
    <row r="1358" spans="1:11">
      <c r="A1358" s="35"/>
      <c r="B1358" s="24">
        <v>14</v>
      </c>
      <c r="C1358" s="23" t="s">
        <v>729</v>
      </c>
      <c r="D1358" s="23" t="s">
        <v>747</v>
      </c>
      <c r="E1358" s="24">
        <v>600</v>
      </c>
      <c r="F1358" s="24"/>
      <c r="G1358" s="24"/>
      <c r="H1358" s="24"/>
      <c r="I1358" s="24"/>
      <c r="J1358" s="24">
        <f t="shared" si="41"/>
        <v>600</v>
      </c>
      <c r="K1358" s="24">
        <f t="shared" si="42"/>
        <v>380</v>
      </c>
    </row>
    <row r="1359" spans="1:11">
      <c r="A1359" s="35"/>
      <c r="B1359" s="24">
        <v>15</v>
      </c>
      <c r="C1359" s="23" t="s">
        <v>591</v>
      </c>
      <c r="D1359" s="23" t="s">
        <v>746</v>
      </c>
      <c r="E1359" s="24">
        <v>400</v>
      </c>
      <c r="F1359" s="24">
        <v>580</v>
      </c>
      <c r="G1359" s="24"/>
      <c r="H1359" s="24"/>
      <c r="I1359" s="24"/>
      <c r="J1359" s="24">
        <f t="shared" si="41"/>
        <v>980</v>
      </c>
      <c r="K1359" s="24">
        <f t="shared" si="42"/>
        <v>0</v>
      </c>
    </row>
    <row r="1360" spans="1:11">
      <c r="A1360" s="35"/>
      <c r="B1360" s="24">
        <v>16</v>
      </c>
      <c r="C1360" s="23" t="s">
        <v>592</v>
      </c>
      <c r="D1360" s="23" t="s">
        <v>746</v>
      </c>
      <c r="E1360" s="24">
        <v>100</v>
      </c>
      <c r="F1360" s="24">
        <v>50</v>
      </c>
      <c r="G1360" s="24">
        <v>150</v>
      </c>
      <c r="H1360" s="24"/>
      <c r="I1360" s="24"/>
      <c r="J1360" s="24">
        <f t="shared" si="41"/>
        <v>300</v>
      </c>
      <c r="K1360" s="24">
        <f t="shared" si="42"/>
        <v>680</v>
      </c>
    </row>
    <row r="1361" spans="1:11">
      <c r="A1361" s="35"/>
      <c r="B1361" s="24">
        <v>17</v>
      </c>
      <c r="C1361" s="23" t="s">
        <v>593</v>
      </c>
      <c r="D1361" s="23" t="s">
        <v>746</v>
      </c>
      <c r="E1361" s="24">
        <v>750</v>
      </c>
      <c r="F1361" s="24"/>
      <c r="G1361" s="24"/>
      <c r="H1361" s="24"/>
      <c r="I1361" s="24"/>
      <c r="J1361" s="24">
        <f t="shared" si="41"/>
        <v>750</v>
      </c>
      <c r="K1361" s="24">
        <f t="shared" si="42"/>
        <v>230</v>
      </c>
    </row>
    <row r="1362" spans="1:11">
      <c r="A1362" s="35"/>
      <c r="B1362" s="24">
        <v>18</v>
      </c>
      <c r="C1362" s="23" t="s">
        <v>594</v>
      </c>
      <c r="D1362" s="23" t="s">
        <v>746</v>
      </c>
      <c r="E1362" s="24">
        <v>980</v>
      </c>
      <c r="F1362" s="24"/>
      <c r="G1362" s="24"/>
      <c r="H1362" s="24"/>
      <c r="I1362" s="24"/>
      <c r="J1362" s="24">
        <f t="shared" si="41"/>
        <v>980</v>
      </c>
      <c r="K1362" s="24">
        <f t="shared" si="42"/>
        <v>0</v>
      </c>
    </row>
    <row r="1363" spans="1:11">
      <c r="A1363" s="35"/>
      <c r="B1363" s="24">
        <v>19</v>
      </c>
      <c r="C1363" s="23" t="s">
        <v>595</v>
      </c>
      <c r="D1363" s="23" t="s">
        <v>746</v>
      </c>
      <c r="E1363" s="24">
        <v>400</v>
      </c>
      <c r="F1363" s="24"/>
      <c r="G1363" s="24"/>
      <c r="H1363" s="24"/>
      <c r="I1363" s="24"/>
      <c r="J1363" s="24">
        <f t="shared" si="41"/>
        <v>400</v>
      </c>
      <c r="K1363" s="24">
        <f t="shared" si="42"/>
        <v>580</v>
      </c>
    </row>
    <row r="1364" spans="1:11">
      <c r="A1364" s="35"/>
      <c r="B1364" s="24">
        <v>20</v>
      </c>
      <c r="C1364" s="23" t="s">
        <v>596</v>
      </c>
      <c r="D1364" s="23" t="s">
        <v>746</v>
      </c>
      <c r="E1364" s="24">
        <v>980</v>
      </c>
      <c r="F1364" s="24"/>
      <c r="G1364" s="24"/>
      <c r="H1364" s="24"/>
      <c r="I1364" s="24"/>
      <c r="J1364" s="24">
        <f t="shared" si="41"/>
        <v>980</v>
      </c>
      <c r="K1364" s="24">
        <f t="shared" si="42"/>
        <v>0</v>
      </c>
    </row>
    <row r="1365" spans="1:11">
      <c r="A1365" s="35"/>
      <c r="B1365" s="24">
        <v>21</v>
      </c>
      <c r="C1365" s="23" t="s">
        <v>597</v>
      </c>
      <c r="D1365" s="23" t="s">
        <v>747</v>
      </c>
      <c r="E1365" s="24">
        <v>500</v>
      </c>
      <c r="F1365" s="24"/>
      <c r="G1365" s="24"/>
      <c r="H1365" s="24"/>
      <c r="I1365" s="24"/>
      <c r="J1365" s="24">
        <f t="shared" si="41"/>
        <v>500</v>
      </c>
      <c r="K1365" s="24">
        <f t="shared" si="42"/>
        <v>480</v>
      </c>
    </row>
    <row r="1366" spans="1:11">
      <c r="A1366" s="35"/>
      <c r="B1366" s="24">
        <v>22</v>
      </c>
      <c r="C1366" s="23" t="s">
        <v>598</v>
      </c>
      <c r="D1366" s="23" t="s">
        <v>747</v>
      </c>
      <c r="E1366" s="24"/>
      <c r="F1366" s="24"/>
      <c r="G1366" s="24"/>
      <c r="H1366" s="24"/>
      <c r="I1366" s="24"/>
      <c r="J1366" s="24" t="str">
        <f t="shared" si="41"/>
        <v/>
      </c>
      <c r="K1366" s="24">
        <f t="shared" si="42"/>
        <v>980</v>
      </c>
    </row>
    <row r="1367" spans="1:11">
      <c r="A1367" s="35"/>
      <c r="B1367" s="24">
        <v>23</v>
      </c>
      <c r="C1367" s="23" t="s">
        <v>599</v>
      </c>
      <c r="D1367" s="23" t="s">
        <v>746</v>
      </c>
      <c r="E1367" s="24">
        <v>250</v>
      </c>
      <c r="F1367" s="24"/>
      <c r="G1367" s="24"/>
      <c r="H1367" s="24"/>
      <c r="I1367" s="24"/>
      <c r="J1367" s="24">
        <f t="shared" si="41"/>
        <v>250</v>
      </c>
      <c r="K1367" s="24">
        <f t="shared" si="42"/>
        <v>730</v>
      </c>
    </row>
    <row r="1368" spans="1:11">
      <c r="A1368" s="35"/>
      <c r="B1368" s="24">
        <v>24</v>
      </c>
      <c r="C1368" s="23" t="s">
        <v>600</v>
      </c>
      <c r="D1368" s="23" t="s">
        <v>747</v>
      </c>
      <c r="E1368" s="24">
        <v>100</v>
      </c>
      <c r="F1368" s="24">
        <v>100</v>
      </c>
      <c r="G1368" s="24">
        <v>100</v>
      </c>
      <c r="H1368" s="24"/>
      <c r="I1368" s="24"/>
      <c r="J1368" s="24">
        <f t="shared" si="41"/>
        <v>300</v>
      </c>
      <c r="K1368" s="24">
        <f t="shared" si="42"/>
        <v>680</v>
      </c>
    </row>
    <row r="1369" spans="1:11">
      <c r="A1369" s="35"/>
      <c r="B1369" s="24">
        <v>25</v>
      </c>
      <c r="C1369" s="23" t="s">
        <v>601</v>
      </c>
      <c r="D1369" s="23" t="s">
        <v>747</v>
      </c>
      <c r="E1369" s="24">
        <v>200</v>
      </c>
      <c r="F1369" s="24">
        <v>350</v>
      </c>
      <c r="G1369" s="24">
        <v>200</v>
      </c>
      <c r="H1369" s="24">
        <v>100</v>
      </c>
      <c r="I1369" s="24"/>
      <c r="J1369" s="24">
        <f t="shared" si="41"/>
        <v>850</v>
      </c>
      <c r="K1369" s="24">
        <f t="shared" si="42"/>
        <v>130</v>
      </c>
    </row>
    <row r="1370" spans="1:11">
      <c r="A1370" s="35"/>
      <c r="B1370" s="24">
        <v>26</v>
      </c>
      <c r="C1370" s="23" t="s">
        <v>602</v>
      </c>
      <c r="D1370" s="23" t="s">
        <v>747</v>
      </c>
      <c r="E1370" s="24">
        <v>250</v>
      </c>
      <c r="F1370" s="24">
        <v>250</v>
      </c>
      <c r="G1370" s="24"/>
      <c r="H1370" s="24"/>
      <c r="I1370" s="24"/>
      <c r="J1370" s="24">
        <f t="shared" si="41"/>
        <v>500</v>
      </c>
      <c r="K1370" s="24">
        <f t="shared" si="42"/>
        <v>480</v>
      </c>
    </row>
    <row r="1371" spans="1:11">
      <c r="A1371" s="35"/>
      <c r="B1371" s="24">
        <v>27</v>
      </c>
      <c r="C1371" s="23" t="s">
        <v>603</v>
      </c>
      <c r="D1371" s="23" t="s">
        <v>746</v>
      </c>
      <c r="E1371" s="24">
        <v>980</v>
      </c>
      <c r="F1371" s="24"/>
      <c r="G1371" s="24"/>
      <c r="H1371" s="24"/>
      <c r="I1371" s="24"/>
      <c r="J1371" s="24">
        <f t="shared" si="41"/>
        <v>980</v>
      </c>
      <c r="K1371" s="24">
        <f t="shared" si="42"/>
        <v>0</v>
      </c>
    </row>
    <row r="1372" spans="1:11">
      <c r="A1372" s="35"/>
      <c r="B1372" s="24">
        <v>28</v>
      </c>
      <c r="C1372" s="23" t="s">
        <v>604</v>
      </c>
      <c r="D1372" s="23" t="s">
        <v>746</v>
      </c>
      <c r="E1372" s="24">
        <v>800</v>
      </c>
      <c r="F1372" s="24"/>
      <c r="G1372" s="24"/>
      <c r="H1372" s="24"/>
      <c r="I1372" s="24"/>
      <c r="J1372" s="24">
        <f t="shared" si="41"/>
        <v>800</v>
      </c>
      <c r="K1372" s="24">
        <f t="shared" si="42"/>
        <v>180</v>
      </c>
    </row>
    <row r="1373" spans="1:11">
      <c r="A1373" s="35"/>
      <c r="B1373" s="24">
        <v>29</v>
      </c>
      <c r="C1373" s="23" t="s">
        <v>605</v>
      </c>
      <c r="D1373" s="23" t="s">
        <v>747</v>
      </c>
      <c r="E1373" s="24">
        <v>280</v>
      </c>
      <c r="F1373" s="24"/>
      <c r="G1373" s="24"/>
      <c r="H1373" s="24"/>
      <c r="I1373" s="24"/>
      <c r="J1373" s="24">
        <f t="shared" si="41"/>
        <v>280</v>
      </c>
      <c r="K1373" s="24">
        <f t="shared" si="42"/>
        <v>700</v>
      </c>
    </row>
    <row r="1374" spans="1:11">
      <c r="A1374" s="35"/>
      <c r="B1374" s="24">
        <v>30</v>
      </c>
      <c r="C1374" s="23" t="s">
        <v>606</v>
      </c>
      <c r="D1374" s="23" t="s">
        <v>747</v>
      </c>
      <c r="E1374" s="24">
        <v>980</v>
      </c>
      <c r="F1374" s="24"/>
      <c r="G1374" s="24"/>
      <c r="H1374" s="24"/>
      <c r="I1374" s="24"/>
      <c r="J1374" s="24">
        <f t="shared" si="41"/>
        <v>980</v>
      </c>
      <c r="K1374" s="24">
        <f t="shared" si="42"/>
        <v>0</v>
      </c>
    </row>
    <row r="1375" spans="1:11">
      <c r="A1375" s="35"/>
      <c r="B1375" s="24">
        <v>31</v>
      </c>
      <c r="C1375" s="23"/>
      <c r="D1375" s="23"/>
      <c r="E1375" s="24"/>
      <c r="F1375" s="24"/>
      <c r="G1375" s="24"/>
      <c r="H1375" s="24"/>
      <c r="I1375" s="24"/>
      <c r="J1375" s="24" t="str">
        <f t="shared" si="41"/>
        <v/>
      </c>
      <c r="K1375" s="24">
        <f t="shared" si="42"/>
        <v>980</v>
      </c>
    </row>
    <row r="1376" spans="1:11">
      <c r="A1376" s="35"/>
      <c r="B1376" s="24">
        <v>32</v>
      </c>
      <c r="C1376" s="23"/>
      <c r="D1376" s="23"/>
      <c r="E1376" s="24"/>
      <c r="F1376" s="24"/>
      <c r="G1376" s="24"/>
      <c r="H1376" s="24"/>
      <c r="I1376" s="24"/>
      <c r="J1376" s="24" t="str">
        <f t="shared" si="41"/>
        <v/>
      </c>
      <c r="K1376" s="24">
        <f t="shared" si="42"/>
        <v>980</v>
      </c>
    </row>
    <row r="1377" spans="1:11">
      <c r="A1377" s="35"/>
      <c r="B1377" s="24">
        <v>33</v>
      </c>
      <c r="C1377" s="23"/>
      <c r="D1377" s="23"/>
      <c r="E1377" s="24"/>
      <c r="F1377" s="24"/>
      <c r="G1377" s="24"/>
      <c r="H1377" s="24"/>
      <c r="I1377" s="24"/>
      <c r="J1377" s="24" t="str">
        <f t="shared" si="41"/>
        <v/>
      </c>
      <c r="K1377" s="24">
        <f t="shared" si="42"/>
        <v>980</v>
      </c>
    </row>
    <row r="1378" spans="1:11">
      <c r="A1378" s="35"/>
      <c r="B1378" s="24">
        <v>34</v>
      </c>
      <c r="C1378" s="23"/>
      <c r="D1378" s="23"/>
      <c r="E1378" s="24"/>
      <c r="F1378" s="24"/>
      <c r="G1378" s="24"/>
      <c r="H1378" s="24"/>
      <c r="I1378" s="24"/>
      <c r="J1378" s="24" t="str">
        <f t="shared" si="41"/>
        <v/>
      </c>
      <c r="K1378" s="24">
        <f t="shared" si="42"/>
        <v>980</v>
      </c>
    </row>
    <row r="1379" spans="1:11">
      <c r="A1379" s="35"/>
      <c r="B1379" s="24">
        <v>35</v>
      </c>
      <c r="C1379" s="23"/>
      <c r="D1379" s="23"/>
      <c r="E1379" s="24"/>
      <c r="F1379" s="24"/>
      <c r="G1379" s="24"/>
      <c r="H1379" s="24"/>
      <c r="I1379" s="24"/>
      <c r="J1379" s="24" t="str">
        <f t="shared" si="41"/>
        <v/>
      </c>
      <c r="K1379" s="24">
        <f t="shared" si="42"/>
        <v>980</v>
      </c>
    </row>
    <row r="1380" spans="1:11">
      <c r="A1380" s="35"/>
      <c r="B1380" s="24">
        <v>36</v>
      </c>
      <c r="C1380" s="23"/>
      <c r="D1380" s="23"/>
      <c r="E1380" s="24"/>
      <c r="F1380" s="24"/>
      <c r="G1380" s="24"/>
      <c r="H1380" s="24"/>
      <c r="I1380" s="24"/>
      <c r="J1380" s="24" t="str">
        <f t="shared" si="41"/>
        <v/>
      </c>
      <c r="K1380" s="24">
        <f t="shared" si="42"/>
        <v>980</v>
      </c>
    </row>
    <row r="1381" spans="1:11">
      <c r="A1381" s="35"/>
      <c r="B1381" s="24">
        <v>37</v>
      </c>
      <c r="C1381" s="23"/>
      <c r="D1381" s="23"/>
      <c r="E1381" s="24"/>
      <c r="F1381" s="24"/>
      <c r="G1381" s="24"/>
      <c r="H1381" s="24"/>
      <c r="I1381" s="24"/>
      <c r="J1381" s="24" t="str">
        <f t="shared" si="41"/>
        <v/>
      </c>
      <c r="K1381" s="24">
        <f t="shared" si="42"/>
        <v>980</v>
      </c>
    </row>
    <row r="1382" spans="1:11">
      <c r="A1382" s="35"/>
      <c r="B1382" s="24">
        <v>38</v>
      </c>
      <c r="C1382" s="23"/>
      <c r="D1382" s="23"/>
      <c r="E1382" s="24"/>
      <c r="F1382" s="24"/>
      <c r="G1382" s="24"/>
      <c r="H1382" s="24"/>
      <c r="I1382" s="24"/>
      <c r="J1382" s="24" t="str">
        <f t="shared" si="41"/>
        <v/>
      </c>
      <c r="K1382" s="24">
        <f t="shared" si="42"/>
        <v>980</v>
      </c>
    </row>
    <row r="1383" spans="1:11">
      <c r="A1383" s="35"/>
      <c r="B1383" s="24">
        <v>39</v>
      </c>
      <c r="C1383" s="23"/>
      <c r="D1383" s="23"/>
      <c r="E1383" s="24"/>
      <c r="F1383" s="24"/>
      <c r="G1383" s="24"/>
      <c r="H1383" s="24"/>
      <c r="I1383" s="24"/>
      <c r="J1383" s="24" t="str">
        <f t="shared" si="41"/>
        <v/>
      </c>
      <c r="K1383" s="24">
        <f t="shared" si="42"/>
        <v>980</v>
      </c>
    </row>
    <row r="1384" spans="1:11">
      <c r="A1384" s="35"/>
      <c r="B1384" s="24">
        <v>40</v>
      </c>
      <c r="C1384" s="23"/>
      <c r="D1384" s="23"/>
      <c r="E1384" s="24"/>
      <c r="F1384" s="24"/>
      <c r="G1384" s="24"/>
      <c r="H1384" s="24"/>
      <c r="I1384" s="24"/>
      <c r="J1384" s="24" t="str">
        <f t="shared" si="41"/>
        <v/>
      </c>
      <c r="K1384" s="24">
        <f t="shared" si="42"/>
        <v>980</v>
      </c>
    </row>
    <row r="1385" spans="1:11">
      <c r="A1385" s="35"/>
      <c r="B1385" s="24">
        <v>41</v>
      </c>
      <c r="C1385" s="23"/>
      <c r="D1385" s="23"/>
      <c r="E1385" s="24"/>
      <c r="F1385" s="24"/>
      <c r="G1385" s="24"/>
      <c r="H1385" s="24"/>
      <c r="I1385" s="24"/>
      <c r="J1385" s="24" t="str">
        <f t="shared" si="41"/>
        <v/>
      </c>
      <c r="K1385" s="24">
        <f t="shared" si="42"/>
        <v>980</v>
      </c>
    </row>
    <row r="1386" spans="1:11">
      <c r="A1386" s="35"/>
      <c r="B1386" s="24">
        <v>42</v>
      </c>
      <c r="C1386" s="23"/>
      <c r="D1386" s="23"/>
      <c r="E1386" s="24"/>
      <c r="F1386" s="24"/>
      <c r="G1386" s="24"/>
      <c r="H1386" s="24"/>
      <c r="I1386" s="24"/>
      <c r="J1386" s="24" t="str">
        <f t="shared" si="41"/>
        <v/>
      </c>
      <c r="K1386" s="24">
        <f t="shared" si="42"/>
        <v>980</v>
      </c>
    </row>
    <row r="1387" spans="1:11">
      <c r="A1387" s="35"/>
      <c r="B1387" s="24">
        <v>43</v>
      </c>
      <c r="C1387" s="23"/>
      <c r="D1387" s="23"/>
      <c r="E1387" s="24"/>
      <c r="F1387" s="24"/>
      <c r="G1387" s="24"/>
      <c r="H1387" s="24"/>
      <c r="I1387" s="24"/>
      <c r="J1387" s="24" t="str">
        <f t="shared" si="41"/>
        <v/>
      </c>
      <c r="K1387" s="24">
        <f t="shared" si="42"/>
        <v>980</v>
      </c>
    </row>
    <row r="1388" spans="1:11">
      <c r="A1388" s="35"/>
      <c r="B1388" s="24">
        <v>44</v>
      </c>
      <c r="C1388" s="23"/>
      <c r="D1388" s="23"/>
      <c r="E1388" s="24"/>
      <c r="F1388" s="24"/>
      <c r="G1388" s="24"/>
      <c r="H1388" s="24"/>
      <c r="I1388" s="24"/>
      <c r="J1388" s="24" t="str">
        <f t="shared" si="41"/>
        <v/>
      </c>
      <c r="K1388" s="24">
        <f t="shared" si="42"/>
        <v>980</v>
      </c>
    </row>
    <row r="1389" spans="1:11">
      <c r="A1389" s="35"/>
      <c r="B1389" s="24">
        <v>45</v>
      </c>
      <c r="C1389" s="23"/>
      <c r="D1389" s="23"/>
      <c r="E1389" s="24"/>
      <c r="F1389" s="24"/>
      <c r="G1389" s="24"/>
      <c r="H1389" s="24"/>
      <c r="I1389" s="24"/>
      <c r="J1389" s="24" t="str">
        <f t="shared" si="41"/>
        <v/>
      </c>
      <c r="K1389" s="24">
        <f t="shared" si="42"/>
        <v>980</v>
      </c>
    </row>
    <row r="1390" spans="1:11">
      <c r="A1390" s="35"/>
      <c r="B1390" s="24">
        <v>46</v>
      </c>
      <c r="C1390" s="23"/>
      <c r="D1390" s="23"/>
      <c r="E1390" s="24"/>
      <c r="F1390" s="24"/>
      <c r="G1390" s="24"/>
      <c r="H1390" s="24"/>
      <c r="I1390" s="24"/>
      <c r="J1390" s="24" t="str">
        <f t="shared" si="41"/>
        <v/>
      </c>
      <c r="K1390" s="24">
        <f t="shared" si="42"/>
        <v>980</v>
      </c>
    </row>
    <row r="1391" spans="1:11">
      <c r="A1391" s="35"/>
      <c r="B1391" s="24">
        <v>47</v>
      </c>
      <c r="C1391" s="23"/>
      <c r="D1391" s="23"/>
      <c r="E1391" s="24"/>
      <c r="F1391" s="24"/>
      <c r="G1391" s="24"/>
      <c r="H1391" s="24"/>
      <c r="I1391" s="24"/>
      <c r="J1391" s="24" t="str">
        <f t="shared" si="41"/>
        <v/>
      </c>
      <c r="K1391" s="24">
        <f t="shared" si="42"/>
        <v>980</v>
      </c>
    </row>
    <row r="1392" spans="1:11">
      <c r="A1392" s="35"/>
      <c r="B1392" s="24">
        <v>48</v>
      </c>
      <c r="C1392" s="23"/>
      <c r="D1392" s="23"/>
      <c r="E1392" s="24"/>
      <c r="F1392" s="24"/>
      <c r="G1392" s="24"/>
      <c r="H1392" s="24"/>
      <c r="I1392" s="24"/>
      <c r="J1392" s="24" t="str">
        <f t="shared" si="41"/>
        <v/>
      </c>
      <c r="K1392" s="24">
        <f t="shared" si="42"/>
        <v>980</v>
      </c>
    </row>
    <row r="1393" spans="1:11">
      <c r="A1393" s="35"/>
      <c r="B1393" s="24">
        <v>49</v>
      </c>
      <c r="C1393" s="23"/>
      <c r="D1393" s="23"/>
      <c r="E1393" s="24"/>
      <c r="F1393" s="24"/>
      <c r="G1393" s="24"/>
      <c r="H1393" s="24"/>
      <c r="I1393" s="24"/>
      <c r="J1393" s="24" t="str">
        <f t="shared" si="41"/>
        <v/>
      </c>
      <c r="K1393" s="24">
        <f t="shared" si="42"/>
        <v>980</v>
      </c>
    </row>
    <row r="1394" spans="1:11">
      <c r="A1394" s="35"/>
      <c r="B1394" s="24">
        <v>50</v>
      </c>
      <c r="C1394" s="23"/>
      <c r="D1394" s="23"/>
      <c r="E1394" s="24"/>
      <c r="F1394" s="24"/>
      <c r="G1394" s="24"/>
      <c r="H1394" s="24"/>
      <c r="I1394" s="24"/>
      <c r="J1394" s="24" t="str">
        <f t="shared" si="41"/>
        <v/>
      </c>
      <c r="K1394" s="24">
        <f t="shared" si="42"/>
        <v>980</v>
      </c>
    </row>
    <row r="1395" spans="1:11">
      <c r="A1395" s="35"/>
      <c r="B1395" s="24">
        <v>51</v>
      </c>
      <c r="C1395" s="23"/>
      <c r="D1395" s="23"/>
      <c r="E1395" s="24"/>
      <c r="F1395" s="24"/>
      <c r="G1395" s="24"/>
      <c r="H1395" s="24"/>
      <c r="I1395" s="24"/>
      <c r="J1395" s="24" t="str">
        <f t="shared" si="41"/>
        <v/>
      </c>
      <c r="K1395" s="24">
        <f t="shared" si="42"/>
        <v>980</v>
      </c>
    </row>
    <row r="1396" spans="1:11">
      <c r="A1396" s="35"/>
      <c r="B1396" s="24">
        <v>52</v>
      </c>
      <c r="C1396" s="23"/>
      <c r="D1396" s="23"/>
      <c r="E1396" s="24"/>
      <c r="F1396" s="24"/>
      <c r="G1396" s="24"/>
      <c r="H1396" s="24"/>
      <c r="I1396" s="24"/>
      <c r="J1396" s="24" t="str">
        <f t="shared" si="41"/>
        <v/>
      </c>
      <c r="K1396" s="24">
        <f t="shared" si="42"/>
        <v>980</v>
      </c>
    </row>
    <row r="1397" spans="1:11">
      <c r="A1397" s="35"/>
      <c r="B1397" s="24">
        <v>53</v>
      </c>
      <c r="C1397" s="23"/>
      <c r="D1397" s="23"/>
      <c r="E1397" s="24"/>
      <c r="F1397" s="24"/>
      <c r="G1397" s="24"/>
      <c r="H1397" s="24"/>
      <c r="I1397" s="24"/>
      <c r="J1397" s="24" t="str">
        <f t="shared" si="41"/>
        <v/>
      </c>
      <c r="K1397" s="24">
        <f t="shared" si="42"/>
        <v>980</v>
      </c>
    </row>
    <row r="1398" spans="1:11">
      <c r="A1398" s="35"/>
      <c r="B1398" s="24">
        <v>54</v>
      </c>
      <c r="C1398" s="23"/>
      <c r="D1398" s="23"/>
      <c r="E1398" s="24"/>
      <c r="F1398" s="24"/>
      <c r="G1398" s="24"/>
      <c r="H1398" s="24"/>
      <c r="I1398" s="24"/>
      <c r="J1398" s="24" t="str">
        <f t="shared" si="41"/>
        <v/>
      </c>
      <c r="K1398" s="24">
        <f t="shared" si="42"/>
        <v>980</v>
      </c>
    </row>
    <row r="1399" spans="1:11">
      <c r="A1399" s="35"/>
      <c r="B1399" s="24">
        <v>55</v>
      </c>
      <c r="C1399" s="23"/>
      <c r="D1399" s="23"/>
      <c r="E1399" s="24"/>
      <c r="F1399" s="24"/>
      <c r="G1399" s="24"/>
      <c r="H1399" s="24"/>
      <c r="I1399" s="24"/>
      <c r="J1399" s="24" t="str">
        <f t="shared" si="41"/>
        <v/>
      </c>
      <c r="K1399" s="24">
        <f t="shared" si="42"/>
        <v>980</v>
      </c>
    </row>
    <row r="1400" spans="1:11">
      <c r="A1400" s="35"/>
      <c r="B1400" s="24">
        <v>56</v>
      </c>
      <c r="C1400" s="23"/>
      <c r="D1400" s="23"/>
      <c r="E1400" s="24"/>
      <c r="F1400" s="24"/>
      <c r="G1400" s="24"/>
      <c r="H1400" s="24"/>
      <c r="I1400" s="24"/>
      <c r="J1400" s="24" t="str">
        <f t="shared" si="41"/>
        <v/>
      </c>
      <c r="K1400" s="24">
        <f t="shared" si="42"/>
        <v>980</v>
      </c>
    </row>
    <row r="1401" spans="1:11">
      <c r="A1401" s="35"/>
      <c r="B1401" s="24">
        <v>57</v>
      </c>
      <c r="C1401" s="23"/>
      <c r="D1401" s="23"/>
      <c r="E1401" s="24"/>
      <c r="F1401" s="24"/>
      <c r="G1401" s="24"/>
      <c r="H1401" s="24"/>
      <c r="I1401" s="24"/>
      <c r="J1401" s="24" t="str">
        <f t="shared" si="41"/>
        <v/>
      </c>
      <c r="K1401" s="24">
        <f t="shared" si="42"/>
        <v>980</v>
      </c>
    </row>
    <row r="1402" spans="1:11">
      <c r="A1402" s="35"/>
      <c r="B1402" s="24">
        <v>58</v>
      </c>
      <c r="C1402" s="23"/>
      <c r="D1402" s="23"/>
      <c r="E1402" s="24"/>
      <c r="F1402" s="24"/>
      <c r="G1402" s="24"/>
      <c r="H1402" s="24"/>
      <c r="I1402" s="24"/>
      <c r="J1402" s="24" t="str">
        <f t="shared" si="41"/>
        <v/>
      </c>
      <c r="K1402" s="24">
        <f t="shared" si="42"/>
        <v>980</v>
      </c>
    </row>
    <row r="1403" spans="1:11">
      <c r="A1403" s="35"/>
      <c r="B1403" s="24">
        <v>59</v>
      </c>
      <c r="C1403" s="23"/>
      <c r="D1403" s="23"/>
      <c r="E1403" s="24"/>
      <c r="F1403" s="24"/>
      <c r="G1403" s="24"/>
      <c r="H1403" s="24"/>
      <c r="I1403" s="24"/>
      <c r="J1403" s="24" t="str">
        <f t="shared" si="41"/>
        <v/>
      </c>
      <c r="K1403" s="24">
        <f t="shared" si="42"/>
        <v>980</v>
      </c>
    </row>
    <row r="1404" spans="1:11">
      <c r="A1404" s="35"/>
      <c r="B1404" s="24">
        <v>60</v>
      </c>
      <c r="C1404" s="23"/>
      <c r="D1404" s="23"/>
      <c r="E1404" s="24"/>
      <c r="F1404" s="24"/>
      <c r="G1404" s="24"/>
      <c r="H1404" s="24"/>
      <c r="I1404" s="24"/>
      <c r="J1404" s="24" t="str">
        <f t="shared" si="41"/>
        <v/>
      </c>
      <c r="K1404" s="24">
        <f t="shared" si="42"/>
        <v>980</v>
      </c>
    </row>
    <row r="1405" spans="1:11">
      <c r="A1405" s="35"/>
      <c r="B1405" s="34"/>
      <c r="C1405" s="34"/>
      <c r="D1405" s="34"/>
      <c r="E1405" s="34"/>
      <c r="F1405" s="34"/>
      <c r="G1405" s="34"/>
      <c r="H1405" s="34"/>
      <c r="I1405" s="33" t="s">
        <v>31</v>
      </c>
      <c r="J1405" s="33"/>
      <c r="K1405" s="24">
        <f>SUM(K1345:K1404)</f>
        <v>41650</v>
      </c>
    </row>
    <row r="1406" spans="1:11">
      <c r="I1406" s="27"/>
      <c r="J1406" s="27"/>
      <c r="K1406" s="24"/>
    </row>
    <row r="1407" spans="1:11">
      <c r="I1407" s="27"/>
      <c r="J1407" s="27"/>
      <c r="K1407" s="24"/>
    </row>
    <row r="1409" spans="1:11">
      <c r="A1409" s="23">
        <v>22</v>
      </c>
      <c r="B1409" s="23" t="s">
        <v>0</v>
      </c>
      <c r="C1409" s="28" t="str">
        <f>IF('Navigation and Summary'!$B$30="", "", 'Navigation and Summary'!$B$30)</f>
        <v>BASIC 9A</v>
      </c>
      <c r="D1409" s="28"/>
      <c r="E1409" s="23" t="s">
        <v>37</v>
      </c>
      <c r="F1409" s="24">
        <f>IF('Navigation and Summary'!$C$30="", "", 'Navigation and Summary'!$C$30)</f>
        <v>4160</v>
      </c>
      <c r="G1409" s="23" t="s">
        <v>34</v>
      </c>
      <c r="H1409" s="24" t="str">
        <f>IF(C1409="", "", 'Navigation and Summary'!$G$6)</f>
        <v>2025-26</v>
      </c>
    </row>
    <row r="1410" spans="1:11">
      <c r="A1410" s="35"/>
      <c r="B1410" s="35" t="s">
        <v>32</v>
      </c>
      <c r="C1410" s="35"/>
      <c r="D1410" s="35"/>
      <c r="E1410" s="35"/>
      <c r="F1410" s="35"/>
      <c r="G1410" s="35"/>
      <c r="H1410" s="35"/>
      <c r="I1410" s="23"/>
      <c r="J1410" s="23"/>
      <c r="K1410" s="23"/>
    </row>
    <row r="1411" spans="1:11" ht="28.5">
      <c r="A1411" s="35"/>
      <c r="B1411" s="25" t="s">
        <v>1</v>
      </c>
      <c r="C1411" s="25" t="s">
        <v>2</v>
      </c>
      <c r="D1411" s="25"/>
      <c r="E1411" s="25" t="s">
        <v>3</v>
      </c>
      <c r="F1411" s="25" t="s">
        <v>4</v>
      </c>
      <c r="G1411" s="25" t="s">
        <v>5</v>
      </c>
      <c r="H1411" s="25" t="s">
        <v>6</v>
      </c>
      <c r="I1411" s="25" t="s">
        <v>7</v>
      </c>
      <c r="J1411" s="25" t="s">
        <v>8</v>
      </c>
      <c r="K1411" s="25" t="s">
        <v>9</v>
      </c>
    </row>
    <row r="1412" spans="1:11">
      <c r="A1412" s="35"/>
      <c r="B1412" s="24">
        <v>1</v>
      </c>
      <c r="C1412" s="23"/>
      <c r="D1412" s="23"/>
      <c r="E1412" s="24"/>
      <c r="F1412" s="24"/>
      <c r="G1412" s="24"/>
      <c r="H1412" s="24"/>
      <c r="I1412" s="24"/>
      <c r="J1412" s="24" t="str">
        <f>IF(SUM(E1412:I1412)=0, "", SUM(E1412:I1412))</f>
        <v/>
      </c>
      <c r="K1412" s="24">
        <f xml:space="preserve"> IFERROR(IF(($F$1409-J1412)=0, 0, ($F$1409-J1412)),$F$1409)</f>
        <v>4160</v>
      </c>
    </row>
    <row r="1413" spans="1:11">
      <c r="A1413" s="35"/>
      <c r="B1413" s="24">
        <v>2</v>
      </c>
      <c r="C1413" s="23"/>
      <c r="D1413" s="23"/>
      <c r="E1413" s="24"/>
      <c r="F1413" s="24"/>
      <c r="G1413" s="24"/>
      <c r="H1413" s="24"/>
      <c r="I1413" s="24"/>
      <c r="J1413" s="24" t="str">
        <f t="shared" ref="J1413:J1472" si="43">IF(SUM(E1413:I1413)=0, "", SUM(E1413:I1413))</f>
        <v/>
      </c>
      <c r="K1413" s="24">
        <f t="shared" ref="K1413:K1472" si="44" xml:space="preserve"> IFERROR(IF(($F$1409-J1413)=0, 0, ($F$1409-J1413)),$F$1409)</f>
        <v>4160</v>
      </c>
    </row>
    <row r="1414" spans="1:11">
      <c r="A1414" s="35"/>
      <c r="B1414" s="24">
        <v>3</v>
      </c>
      <c r="C1414" s="23"/>
      <c r="D1414" s="23"/>
      <c r="E1414" s="24"/>
      <c r="F1414" s="24"/>
      <c r="G1414" s="24"/>
      <c r="H1414" s="24"/>
      <c r="I1414" s="24"/>
      <c r="J1414" s="24" t="str">
        <f t="shared" si="43"/>
        <v/>
      </c>
      <c r="K1414" s="24">
        <f t="shared" si="44"/>
        <v>4160</v>
      </c>
    </row>
    <row r="1415" spans="1:11">
      <c r="A1415" s="35"/>
      <c r="B1415" s="24">
        <v>4</v>
      </c>
      <c r="C1415" s="23"/>
      <c r="D1415" s="23"/>
      <c r="E1415" s="24"/>
      <c r="F1415" s="24"/>
      <c r="G1415" s="24"/>
      <c r="H1415" s="24"/>
      <c r="I1415" s="24"/>
      <c r="J1415" s="24" t="str">
        <f t="shared" si="43"/>
        <v/>
      </c>
      <c r="K1415" s="24">
        <f t="shared" si="44"/>
        <v>4160</v>
      </c>
    </row>
    <row r="1416" spans="1:11">
      <c r="A1416" s="35"/>
      <c r="B1416" s="24">
        <v>5</v>
      </c>
      <c r="C1416" s="23"/>
      <c r="D1416" s="23"/>
      <c r="E1416" s="24"/>
      <c r="F1416" s="24"/>
      <c r="G1416" s="24"/>
      <c r="H1416" s="24"/>
      <c r="I1416" s="24"/>
      <c r="J1416" s="24" t="str">
        <f t="shared" si="43"/>
        <v/>
      </c>
      <c r="K1416" s="24">
        <f t="shared" si="44"/>
        <v>4160</v>
      </c>
    </row>
    <row r="1417" spans="1:11">
      <c r="A1417" s="35"/>
      <c r="B1417" s="24">
        <v>6</v>
      </c>
      <c r="C1417" s="23"/>
      <c r="D1417" s="23"/>
      <c r="E1417" s="24"/>
      <c r="F1417" s="24"/>
      <c r="G1417" s="24"/>
      <c r="H1417" s="24"/>
      <c r="I1417" s="24"/>
      <c r="J1417" s="24" t="str">
        <f t="shared" si="43"/>
        <v/>
      </c>
      <c r="K1417" s="24">
        <f t="shared" si="44"/>
        <v>4160</v>
      </c>
    </row>
    <row r="1418" spans="1:11">
      <c r="A1418" s="35"/>
      <c r="B1418" s="24">
        <v>7</v>
      </c>
      <c r="C1418" s="23"/>
      <c r="D1418" s="23"/>
      <c r="E1418" s="24"/>
      <c r="F1418" s="24"/>
      <c r="G1418" s="24"/>
      <c r="H1418" s="24"/>
      <c r="I1418" s="24"/>
      <c r="J1418" s="24" t="str">
        <f t="shared" si="43"/>
        <v/>
      </c>
      <c r="K1418" s="24">
        <f t="shared" si="44"/>
        <v>4160</v>
      </c>
    </row>
    <row r="1419" spans="1:11">
      <c r="A1419" s="35"/>
      <c r="B1419" s="24">
        <v>8</v>
      </c>
      <c r="C1419" s="23"/>
      <c r="D1419" s="23"/>
      <c r="E1419" s="24"/>
      <c r="F1419" s="24"/>
      <c r="G1419" s="24"/>
      <c r="H1419" s="24"/>
      <c r="I1419" s="24"/>
      <c r="J1419" s="24" t="str">
        <f t="shared" si="43"/>
        <v/>
      </c>
      <c r="K1419" s="24">
        <f t="shared" si="44"/>
        <v>4160</v>
      </c>
    </row>
    <row r="1420" spans="1:11">
      <c r="A1420" s="35"/>
      <c r="B1420" s="24">
        <v>9</v>
      </c>
      <c r="C1420" s="23"/>
      <c r="D1420" s="23"/>
      <c r="E1420" s="24"/>
      <c r="F1420" s="24"/>
      <c r="G1420" s="24"/>
      <c r="H1420" s="24"/>
      <c r="I1420" s="24"/>
      <c r="J1420" s="24" t="str">
        <f t="shared" si="43"/>
        <v/>
      </c>
      <c r="K1420" s="24">
        <f t="shared" si="44"/>
        <v>4160</v>
      </c>
    </row>
    <row r="1421" spans="1:11">
      <c r="A1421" s="35"/>
      <c r="B1421" s="24">
        <v>10</v>
      </c>
      <c r="C1421" s="23"/>
      <c r="D1421" s="23"/>
      <c r="E1421" s="24"/>
      <c r="F1421" s="24"/>
      <c r="G1421" s="24"/>
      <c r="H1421" s="24"/>
      <c r="I1421" s="24"/>
      <c r="J1421" s="24" t="str">
        <f t="shared" si="43"/>
        <v/>
      </c>
      <c r="K1421" s="24">
        <f t="shared" si="44"/>
        <v>4160</v>
      </c>
    </row>
    <row r="1422" spans="1:11">
      <c r="A1422" s="35"/>
      <c r="B1422" s="24">
        <v>11</v>
      </c>
      <c r="C1422" s="23"/>
      <c r="D1422" s="23"/>
      <c r="E1422" s="24"/>
      <c r="F1422" s="24"/>
      <c r="G1422" s="24"/>
      <c r="H1422" s="24"/>
      <c r="I1422" s="24"/>
      <c r="J1422" s="24" t="str">
        <f t="shared" si="43"/>
        <v/>
      </c>
      <c r="K1422" s="24">
        <f t="shared" si="44"/>
        <v>4160</v>
      </c>
    </row>
    <row r="1423" spans="1:11">
      <c r="A1423" s="35"/>
      <c r="B1423" s="24">
        <v>12</v>
      </c>
      <c r="C1423" s="23"/>
      <c r="D1423" s="23"/>
      <c r="E1423" s="24"/>
      <c r="F1423" s="24"/>
      <c r="G1423" s="24"/>
      <c r="H1423" s="24"/>
      <c r="I1423" s="24"/>
      <c r="J1423" s="24" t="str">
        <f t="shared" si="43"/>
        <v/>
      </c>
      <c r="K1423" s="24">
        <f t="shared" si="44"/>
        <v>4160</v>
      </c>
    </row>
    <row r="1424" spans="1:11">
      <c r="A1424" s="35"/>
      <c r="B1424" s="24">
        <v>13</v>
      </c>
      <c r="C1424" s="23"/>
      <c r="D1424" s="23"/>
      <c r="E1424" s="24"/>
      <c r="F1424" s="24"/>
      <c r="G1424" s="24"/>
      <c r="H1424" s="24"/>
      <c r="I1424" s="24"/>
      <c r="J1424" s="24" t="str">
        <f t="shared" si="43"/>
        <v/>
      </c>
      <c r="K1424" s="24">
        <f t="shared" si="44"/>
        <v>4160</v>
      </c>
    </row>
    <row r="1425" spans="1:11">
      <c r="A1425" s="35"/>
      <c r="B1425" s="24">
        <v>14</v>
      </c>
      <c r="C1425" s="23"/>
      <c r="D1425" s="23"/>
      <c r="E1425" s="24"/>
      <c r="F1425" s="24"/>
      <c r="G1425" s="24"/>
      <c r="H1425" s="24"/>
      <c r="I1425" s="24"/>
      <c r="J1425" s="24" t="str">
        <f t="shared" si="43"/>
        <v/>
      </c>
      <c r="K1425" s="24">
        <f t="shared" si="44"/>
        <v>4160</v>
      </c>
    </row>
    <row r="1426" spans="1:11">
      <c r="A1426" s="35"/>
      <c r="B1426" s="24">
        <v>15</v>
      </c>
      <c r="C1426" s="23"/>
      <c r="D1426" s="23"/>
      <c r="E1426" s="24"/>
      <c r="F1426" s="24"/>
      <c r="G1426" s="24"/>
      <c r="H1426" s="24"/>
      <c r="I1426" s="24"/>
      <c r="J1426" s="24" t="str">
        <f t="shared" si="43"/>
        <v/>
      </c>
      <c r="K1426" s="24">
        <f t="shared" si="44"/>
        <v>4160</v>
      </c>
    </row>
    <row r="1427" spans="1:11">
      <c r="A1427" s="35"/>
      <c r="B1427" s="24">
        <v>16</v>
      </c>
      <c r="C1427" s="23"/>
      <c r="D1427" s="23"/>
      <c r="E1427" s="24"/>
      <c r="F1427" s="24"/>
      <c r="G1427" s="24"/>
      <c r="H1427" s="24"/>
      <c r="I1427" s="24"/>
      <c r="J1427" s="24" t="str">
        <f t="shared" si="43"/>
        <v/>
      </c>
      <c r="K1427" s="24">
        <f t="shared" si="44"/>
        <v>4160</v>
      </c>
    </row>
    <row r="1428" spans="1:11">
      <c r="A1428" s="35"/>
      <c r="B1428" s="24">
        <v>17</v>
      </c>
      <c r="C1428" s="23"/>
      <c r="D1428" s="23"/>
      <c r="E1428" s="24"/>
      <c r="F1428" s="24"/>
      <c r="G1428" s="24"/>
      <c r="H1428" s="24"/>
      <c r="I1428" s="24"/>
      <c r="J1428" s="24" t="str">
        <f t="shared" si="43"/>
        <v/>
      </c>
      <c r="K1428" s="24">
        <f t="shared" si="44"/>
        <v>4160</v>
      </c>
    </row>
    <row r="1429" spans="1:11">
      <c r="A1429" s="35"/>
      <c r="B1429" s="24">
        <v>18</v>
      </c>
      <c r="C1429" s="23"/>
      <c r="D1429" s="23"/>
      <c r="E1429" s="24"/>
      <c r="F1429" s="24"/>
      <c r="G1429" s="24"/>
      <c r="H1429" s="24"/>
      <c r="I1429" s="24"/>
      <c r="J1429" s="24" t="str">
        <f t="shared" si="43"/>
        <v/>
      </c>
      <c r="K1429" s="24">
        <f t="shared" si="44"/>
        <v>4160</v>
      </c>
    </row>
    <row r="1430" spans="1:11">
      <c r="A1430" s="35"/>
      <c r="B1430" s="24">
        <v>19</v>
      </c>
      <c r="C1430" s="23"/>
      <c r="D1430" s="23"/>
      <c r="E1430" s="24"/>
      <c r="F1430" s="24"/>
      <c r="G1430" s="24"/>
      <c r="H1430" s="24"/>
      <c r="I1430" s="24"/>
      <c r="J1430" s="24" t="str">
        <f t="shared" si="43"/>
        <v/>
      </c>
      <c r="K1430" s="24">
        <f t="shared" si="44"/>
        <v>4160</v>
      </c>
    </row>
    <row r="1431" spans="1:11">
      <c r="A1431" s="35"/>
      <c r="B1431" s="24">
        <v>20</v>
      </c>
      <c r="C1431" s="23"/>
      <c r="D1431" s="23"/>
      <c r="E1431" s="24"/>
      <c r="F1431" s="24"/>
      <c r="G1431" s="24"/>
      <c r="H1431" s="24"/>
      <c r="I1431" s="24"/>
      <c r="J1431" s="24" t="str">
        <f t="shared" si="43"/>
        <v/>
      </c>
      <c r="K1431" s="24">
        <f t="shared" si="44"/>
        <v>4160</v>
      </c>
    </row>
    <row r="1432" spans="1:11">
      <c r="A1432" s="35"/>
      <c r="B1432" s="24">
        <v>21</v>
      </c>
      <c r="C1432" s="23"/>
      <c r="D1432" s="23"/>
      <c r="E1432" s="24"/>
      <c r="F1432" s="24"/>
      <c r="G1432" s="24"/>
      <c r="H1432" s="24"/>
      <c r="I1432" s="24"/>
      <c r="J1432" s="24" t="str">
        <f t="shared" si="43"/>
        <v/>
      </c>
      <c r="K1432" s="24">
        <f t="shared" si="44"/>
        <v>4160</v>
      </c>
    </row>
    <row r="1433" spans="1:11">
      <c r="A1433" s="35"/>
      <c r="B1433" s="24">
        <v>22</v>
      </c>
      <c r="C1433" s="23"/>
      <c r="D1433" s="23"/>
      <c r="E1433" s="24"/>
      <c r="F1433" s="24"/>
      <c r="G1433" s="24"/>
      <c r="H1433" s="24"/>
      <c r="I1433" s="24"/>
      <c r="J1433" s="24" t="str">
        <f t="shared" si="43"/>
        <v/>
      </c>
      <c r="K1433" s="24">
        <f t="shared" si="44"/>
        <v>4160</v>
      </c>
    </row>
    <row r="1434" spans="1:11">
      <c r="A1434" s="35"/>
      <c r="B1434" s="24">
        <v>23</v>
      </c>
      <c r="C1434" s="23"/>
      <c r="D1434" s="23"/>
      <c r="E1434" s="24"/>
      <c r="F1434" s="24"/>
      <c r="G1434" s="24"/>
      <c r="H1434" s="24"/>
      <c r="I1434" s="24"/>
      <c r="J1434" s="24" t="str">
        <f t="shared" si="43"/>
        <v/>
      </c>
      <c r="K1434" s="24">
        <f t="shared" si="44"/>
        <v>4160</v>
      </c>
    </row>
    <row r="1435" spans="1:11">
      <c r="A1435" s="35"/>
      <c r="B1435" s="24">
        <v>24</v>
      </c>
      <c r="C1435" s="23"/>
      <c r="D1435" s="23"/>
      <c r="E1435" s="24"/>
      <c r="F1435" s="24"/>
      <c r="G1435" s="24"/>
      <c r="H1435" s="24"/>
      <c r="I1435" s="24"/>
      <c r="J1435" s="24" t="str">
        <f t="shared" si="43"/>
        <v/>
      </c>
      <c r="K1435" s="24">
        <f t="shared" si="44"/>
        <v>4160</v>
      </c>
    </row>
    <row r="1436" spans="1:11">
      <c r="A1436" s="35"/>
      <c r="B1436" s="24">
        <v>25</v>
      </c>
      <c r="C1436" s="23"/>
      <c r="D1436" s="23"/>
      <c r="E1436" s="24"/>
      <c r="F1436" s="24"/>
      <c r="G1436" s="24"/>
      <c r="H1436" s="24"/>
      <c r="I1436" s="24"/>
      <c r="J1436" s="24" t="str">
        <f t="shared" si="43"/>
        <v/>
      </c>
      <c r="K1436" s="24">
        <f t="shared" si="44"/>
        <v>4160</v>
      </c>
    </row>
    <row r="1437" spans="1:11">
      <c r="A1437" s="35"/>
      <c r="B1437" s="24">
        <v>26</v>
      </c>
      <c r="C1437" s="23"/>
      <c r="D1437" s="23"/>
      <c r="E1437" s="24"/>
      <c r="F1437" s="24"/>
      <c r="G1437" s="24"/>
      <c r="H1437" s="24"/>
      <c r="I1437" s="24"/>
      <c r="J1437" s="24" t="str">
        <f t="shared" si="43"/>
        <v/>
      </c>
      <c r="K1437" s="24">
        <f t="shared" si="44"/>
        <v>4160</v>
      </c>
    </row>
    <row r="1438" spans="1:11">
      <c r="A1438" s="35"/>
      <c r="B1438" s="24">
        <v>27</v>
      </c>
      <c r="C1438" s="23"/>
      <c r="D1438" s="23"/>
      <c r="E1438" s="24"/>
      <c r="F1438" s="24"/>
      <c r="G1438" s="24"/>
      <c r="H1438" s="24"/>
      <c r="I1438" s="24"/>
      <c r="J1438" s="24" t="str">
        <f t="shared" si="43"/>
        <v/>
      </c>
      <c r="K1438" s="24">
        <f t="shared" si="44"/>
        <v>4160</v>
      </c>
    </row>
    <row r="1439" spans="1:11">
      <c r="A1439" s="35"/>
      <c r="B1439" s="24">
        <v>28</v>
      </c>
      <c r="C1439" s="23"/>
      <c r="D1439" s="23"/>
      <c r="E1439" s="24"/>
      <c r="F1439" s="24"/>
      <c r="G1439" s="24"/>
      <c r="H1439" s="24"/>
      <c r="I1439" s="24"/>
      <c r="J1439" s="24" t="str">
        <f t="shared" si="43"/>
        <v/>
      </c>
      <c r="K1439" s="24">
        <f t="shared" si="44"/>
        <v>4160</v>
      </c>
    </row>
    <row r="1440" spans="1:11">
      <c r="A1440" s="35"/>
      <c r="B1440" s="24">
        <v>29</v>
      </c>
      <c r="C1440" s="23"/>
      <c r="D1440" s="23"/>
      <c r="E1440" s="24"/>
      <c r="F1440" s="24"/>
      <c r="G1440" s="24"/>
      <c r="H1440" s="24"/>
      <c r="I1440" s="24"/>
      <c r="J1440" s="24" t="str">
        <f t="shared" si="43"/>
        <v/>
      </c>
      <c r="K1440" s="24">
        <f t="shared" si="44"/>
        <v>4160</v>
      </c>
    </row>
    <row r="1441" spans="1:11">
      <c r="A1441" s="35"/>
      <c r="B1441" s="24">
        <v>30</v>
      </c>
      <c r="C1441" s="23"/>
      <c r="D1441" s="23"/>
      <c r="E1441" s="24"/>
      <c r="F1441" s="24"/>
      <c r="G1441" s="24"/>
      <c r="H1441" s="24"/>
      <c r="I1441" s="24"/>
      <c r="J1441" s="24" t="str">
        <f t="shared" si="43"/>
        <v/>
      </c>
      <c r="K1441" s="24">
        <f t="shared" si="44"/>
        <v>4160</v>
      </c>
    </row>
    <row r="1442" spans="1:11">
      <c r="A1442" s="35"/>
      <c r="B1442" s="24">
        <v>31</v>
      </c>
      <c r="C1442" s="23"/>
      <c r="D1442" s="23"/>
      <c r="E1442" s="24"/>
      <c r="F1442" s="24"/>
      <c r="G1442" s="24"/>
      <c r="H1442" s="24"/>
      <c r="I1442" s="24"/>
      <c r="J1442" s="24" t="str">
        <f t="shared" si="43"/>
        <v/>
      </c>
      <c r="K1442" s="24">
        <f t="shared" si="44"/>
        <v>4160</v>
      </c>
    </row>
    <row r="1443" spans="1:11">
      <c r="A1443" s="35"/>
      <c r="B1443" s="24">
        <v>32</v>
      </c>
      <c r="C1443" s="23"/>
      <c r="D1443" s="23"/>
      <c r="E1443" s="24"/>
      <c r="F1443" s="24"/>
      <c r="G1443" s="24"/>
      <c r="H1443" s="24"/>
      <c r="I1443" s="24"/>
      <c r="J1443" s="24" t="str">
        <f t="shared" si="43"/>
        <v/>
      </c>
      <c r="K1443" s="24">
        <f t="shared" si="44"/>
        <v>4160</v>
      </c>
    </row>
    <row r="1444" spans="1:11">
      <c r="A1444" s="35"/>
      <c r="B1444" s="24">
        <v>33</v>
      </c>
      <c r="C1444" s="23"/>
      <c r="D1444" s="23"/>
      <c r="E1444" s="24"/>
      <c r="F1444" s="24"/>
      <c r="G1444" s="24"/>
      <c r="H1444" s="24"/>
      <c r="I1444" s="24"/>
      <c r="J1444" s="24" t="str">
        <f t="shared" si="43"/>
        <v/>
      </c>
      <c r="K1444" s="24">
        <f t="shared" si="44"/>
        <v>4160</v>
      </c>
    </row>
    <row r="1445" spans="1:11">
      <c r="A1445" s="35"/>
      <c r="B1445" s="24">
        <v>34</v>
      </c>
      <c r="C1445" s="23"/>
      <c r="D1445" s="23"/>
      <c r="E1445" s="24"/>
      <c r="F1445" s="24"/>
      <c r="G1445" s="24"/>
      <c r="H1445" s="24"/>
      <c r="I1445" s="24"/>
      <c r="J1445" s="24" t="str">
        <f t="shared" si="43"/>
        <v/>
      </c>
      <c r="K1445" s="24">
        <f t="shared" si="44"/>
        <v>4160</v>
      </c>
    </row>
    <row r="1446" spans="1:11">
      <c r="A1446" s="35"/>
      <c r="B1446" s="24">
        <v>35</v>
      </c>
      <c r="C1446" s="23"/>
      <c r="D1446" s="23"/>
      <c r="E1446" s="24"/>
      <c r="F1446" s="24"/>
      <c r="G1446" s="24"/>
      <c r="H1446" s="24"/>
      <c r="I1446" s="24"/>
      <c r="J1446" s="24" t="str">
        <f t="shared" si="43"/>
        <v/>
      </c>
      <c r="K1446" s="24">
        <f t="shared" si="44"/>
        <v>4160</v>
      </c>
    </row>
    <row r="1447" spans="1:11">
      <c r="A1447" s="35"/>
      <c r="B1447" s="24">
        <v>36</v>
      </c>
      <c r="C1447" s="23"/>
      <c r="D1447" s="23"/>
      <c r="E1447" s="24"/>
      <c r="F1447" s="24"/>
      <c r="G1447" s="24"/>
      <c r="H1447" s="24"/>
      <c r="I1447" s="24"/>
      <c r="J1447" s="24" t="str">
        <f t="shared" si="43"/>
        <v/>
      </c>
      <c r="K1447" s="24">
        <f t="shared" si="44"/>
        <v>4160</v>
      </c>
    </row>
    <row r="1448" spans="1:11">
      <c r="A1448" s="35"/>
      <c r="B1448" s="24">
        <v>37</v>
      </c>
      <c r="C1448" s="23"/>
      <c r="D1448" s="23"/>
      <c r="E1448" s="24"/>
      <c r="F1448" s="24"/>
      <c r="G1448" s="24"/>
      <c r="H1448" s="24"/>
      <c r="I1448" s="24"/>
      <c r="J1448" s="24" t="str">
        <f t="shared" si="43"/>
        <v/>
      </c>
      <c r="K1448" s="24">
        <f t="shared" si="44"/>
        <v>4160</v>
      </c>
    </row>
    <row r="1449" spans="1:11">
      <c r="A1449" s="35"/>
      <c r="B1449" s="24">
        <v>38</v>
      </c>
      <c r="C1449" s="23"/>
      <c r="D1449" s="23"/>
      <c r="E1449" s="24"/>
      <c r="F1449" s="24"/>
      <c r="G1449" s="24"/>
      <c r="H1449" s="24"/>
      <c r="I1449" s="24"/>
      <c r="J1449" s="24" t="str">
        <f t="shared" si="43"/>
        <v/>
      </c>
      <c r="K1449" s="24">
        <f t="shared" si="44"/>
        <v>4160</v>
      </c>
    </row>
    <row r="1450" spans="1:11">
      <c r="A1450" s="35"/>
      <c r="B1450" s="24">
        <v>39</v>
      </c>
      <c r="C1450" s="23"/>
      <c r="D1450" s="23"/>
      <c r="E1450" s="24"/>
      <c r="F1450" s="24"/>
      <c r="G1450" s="24"/>
      <c r="H1450" s="24"/>
      <c r="I1450" s="24"/>
      <c r="J1450" s="24" t="str">
        <f t="shared" si="43"/>
        <v/>
      </c>
      <c r="K1450" s="24">
        <f t="shared" si="44"/>
        <v>4160</v>
      </c>
    </row>
    <row r="1451" spans="1:11">
      <c r="A1451" s="35"/>
      <c r="B1451" s="24">
        <v>40</v>
      </c>
      <c r="C1451" s="23"/>
      <c r="D1451" s="23"/>
      <c r="E1451" s="24"/>
      <c r="F1451" s="24"/>
      <c r="G1451" s="24"/>
      <c r="H1451" s="24"/>
      <c r="I1451" s="24"/>
      <c r="J1451" s="24" t="str">
        <f t="shared" si="43"/>
        <v/>
      </c>
      <c r="K1451" s="24">
        <f t="shared" si="44"/>
        <v>4160</v>
      </c>
    </row>
    <row r="1452" spans="1:11">
      <c r="A1452" s="35"/>
      <c r="B1452" s="24">
        <v>41</v>
      </c>
      <c r="C1452" s="23"/>
      <c r="D1452" s="23"/>
      <c r="E1452" s="24"/>
      <c r="F1452" s="24"/>
      <c r="G1452" s="24"/>
      <c r="H1452" s="24"/>
      <c r="I1452" s="24"/>
      <c r="J1452" s="24" t="str">
        <f t="shared" si="43"/>
        <v/>
      </c>
      <c r="K1452" s="24">
        <f t="shared" si="44"/>
        <v>4160</v>
      </c>
    </row>
    <row r="1453" spans="1:11">
      <c r="A1453" s="35"/>
      <c r="B1453" s="24">
        <v>42</v>
      </c>
      <c r="C1453" s="23"/>
      <c r="D1453" s="23"/>
      <c r="E1453" s="24"/>
      <c r="F1453" s="24"/>
      <c r="G1453" s="24"/>
      <c r="H1453" s="24"/>
      <c r="I1453" s="24"/>
      <c r="J1453" s="24" t="str">
        <f t="shared" si="43"/>
        <v/>
      </c>
      <c r="K1453" s="24">
        <f t="shared" si="44"/>
        <v>4160</v>
      </c>
    </row>
    <row r="1454" spans="1:11">
      <c r="A1454" s="35"/>
      <c r="B1454" s="24">
        <v>43</v>
      </c>
      <c r="C1454" s="23"/>
      <c r="D1454" s="23"/>
      <c r="E1454" s="24"/>
      <c r="F1454" s="24"/>
      <c r="G1454" s="24"/>
      <c r="H1454" s="24"/>
      <c r="I1454" s="24"/>
      <c r="J1454" s="24" t="str">
        <f t="shared" si="43"/>
        <v/>
      </c>
      <c r="K1454" s="24">
        <f t="shared" si="44"/>
        <v>4160</v>
      </c>
    </row>
    <row r="1455" spans="1:11">
      <c r="A1455" s="35"/>
      <c r="B1455" s="24">
        <v>44</v>
      </c>
      <c r="C1455" s="23"/>
      <c r="D1455" s="23"/>
      <c r="E1455" s="24"/>
      <c r="F1455" s="24"/>
      <c r="G1455" s="24"/>
      <c r="H1455" s="24"/>
      <c r="I1455" s="24"/>
      <c r="J1455" s="24" t="str">
        <f t="shared" si="43"/>
        <v/>
      </c>
      <c r="K1455" s="24">
        <f t="shared" si="44"/>
        <v>4160</v>
      </c>
    </row>
    <row r="1456" spans="1:11">
      <c r="A1456" s="35"/>
      <c r="B1456" s="24">
        <v>45</v>
      </c>
      <c r="C1456" s="23"/>
      <c r="D1456" s="23"/>
      <c r="E1456" s="24"/>
      <c r="F1456" s="24"/>
      <c r="G1456" s="24"/>
      <c r="H1456" s="24"/>
      <c r="I1456" s="24"/>
      <c r="J1456" s="24" t="str">
        <f t="shared" si="43"/>
        <v/>
      </c>
      <c r="K1456" s="24">
        <f t="shared" si="44"/>
        <v>4160</v>
      </c>
    </row>
    <row r="1457" spans="1:11">
      <c r="A1457" s="35"/>
      <c r="B1457" s="24">
        <v>46</v>
      </c>
      <c r="C1457" s="23"/>
      <c r="D1457" s="23"/>
      <c r="E1457" s="24"/>
      <c r="F1457" s="24"/>
      <c r="G1457" s="24"/>
      <c r="H1457" s="24"/>
      <c r="I1457" s="24"/>
      <c r="J1457" s="24" t="str">
        <f t="shared" si="43"/>
        <v/>
      </c>
      <c r="K1457" s="24">
        <f t="shared" si="44"/>
        <v>4160</v>
      </c>
    </row>
    <row r="1458" spans="1:11">
      <c r="A1458" s="35"/>
      <c r="B1458" s="24">
        <v>47</v>
      </c>
      <c r="C1458" s="23"/>
      <c r="D1458" s="23"/>
      <c r="E1458" s="24"/>
      <c r="F1458" s="24"/>
      <c r="G1458" s="24"/>
      <c r="H1458" s="24"/>
      <c r="I1458" s="24"/>
      <c r="J1458" s="24" t="str">
        <f t="shared" si="43"/>
        <v/>
      </c>
      <c r="K1458" s="24">
        <f t="shared" si="44"/>
        <v>4160</v>
      </c>
    </row>
    <row r="1459" spans="1:11">
      <c r="A1459" s="35"/>
      <c r="B1459" s="24">
        <v>48</v>
      </c>
      <c r="C1459" s="23"/>
      <c r="D1459" s="23"/>
      <c r="E1459" s="24"/>
      <c r="F1459" s="24"/>
      <c r="G1459" s="24"/>
      <c r="H1459" s="24"/>
      <c r="I1459" s="24"/>
      <c r="J1459" s="24" t="str">
        <f t="shared" si="43"/>
        <v/>
      </c>
      <c r="K1459" s="24">
        <f t="shared" si="44"/>
        <v>4160</v>
      </c>
    </row>
    <row r="1460" spans="1:11">
      <c r="A1460" s="35"/>
      <c r="B1460" s="24">
        <v>49</v>
      </c>
      <c r="C1460" s="23"/>
      <c r="D1460" s="23"/>
      <c r="E1460" s="24"/>
      <c r="F1460" s="24"/>
      <c r="G1460" s="24"/>
      <c r="H1460" s="24"/>
      <c r="I1460" s="24"/>
      <c r="J1460" s="24" t="str">
        <f t="shared" si="43"/>
        <v/>
      </c>
      <c r="K1460" s="24">
        <f t="shared" si="44"/>
        <v>4160</v>
      </c>
    </row>
    <row r="1461" spans="1:11">
      <c r="A1461" s="35"/>
      <c r="B1461" s="24">
        <v>50</v>
      </c>
      <c r="C1461" s="23"/>
      <c r="D1461" s="23"/>
      <c r="E1461" s="24"/>
      <c r="F1461" s="24"/>
      <c r="G1461" s="24"/>
      <c r="H1461" s="24"/>
      <c r="I1461" s="24"/>
      <c r="J1461" s="24" t="str">
        <f t="shared" si="43"/>
        <v/>
      </c>
      <c r="K1461" s="24">
        <f t="shared" si="44"/>
        <v>4160</v>
      </c>
    </row>
    <row r="1462" spans="1:11">
      <c r="A1462" s="35"/>
      <c r="B1462" s="24">
        <v>51</v>
      </c>
      <c r="C1462" s="23"/>
      <c r="D1462" s="23"/>
      <c r="E1462" s="24"/>
      <c r="F1462" s="24"/>
      <c r="G1462" s="24"/>
      <c r="H1462" s="24"/>
      <c r="I1462" s="24"/>
      <c r="J1462" s="24" t="str">
        <f t="shared" si="43"/>
        <v/>
      </c>
      <c r="K1462" s="24">
        <f t="shared" si="44"/>
        <v>4160</v>
      </c>
    </row>
    <row r="1463" spans="1:11">
      <c r="A1463" s="35"/>
      <c r="B1463" s="24">
        <v>52</v>
      </c>
      <c r="C1463" s="23"/>
      <c r="D1463" s="23"/>
      <c r="E1463" s="24"/>
      <c r="F1463" s="24"/>
      <c r="G1463" s="24"/>
      <c r="H1463" s="24"/>
      <c r="I1463" s="24"/>
      <c r="J1463" s="24" t="str">
        <f t="shared" si="43"/>
        <v/>
      </c>
      <c r="K1463" s="24">
        <f t="shared" si="44"/>
        <v>4160</v>
      </c>
    </row>
    <row r="1464" spans="1:11">
      <c r="A1464" s="35"/>
      <c r="B1464" s="24">
        <v>53</v>
      </c>
      <c r="C1464" s="23"/>
      <c r="D1464" s="23"/>
      <c r="E1464" s="24"/>
      <c r="F1464" s="24"/>
      <c r="G1464" s="24"/>
      <c r="H1464" s="24"/>
      <c r="I1464" s="24"/>
      <c r="J1464" s="24" t="str">
        <f t="shared" si="43"/>
        <v/>
      </c>
      <c r="K1464" s="24">
        <f t="shared" si="44"/>
        <v>4160</v>
      </c>
    </row>
    <row r="1465" spans="1:11">
      <c r="A1465" s="35"/>
      <c r="B1465" s="24">
        <v>54</v>
      </c>
      <c r="C1465" s="23"/>
      <c r="D1465" s="23"/>
      <c r="E1465" s="24"/>
      <c r="F1465" s="24"/>
      <c r="G1465" s="24"/>
      <c r="H1465" s="24"/>
      <c r="I1465" s="24"/>
      <c r="J1465" s="24" t="str">
        <f t="shared" si="43"/>
        <v/>
      </c>
      <c r="K1465" s="24">
        <f t="shared" si="44"/>
        <v>4160</v>
      </c>
    </row>
    <row r="1466" spans="1:11">
      <c r="A1466" s="35"/>
      <c r="B1466" s="24">
        <v>55</v>
      </c>
      <c r="C1466" s="23"/>
      <c r="D1466" s="23"/>
      <c r="E1466" s="24"/>
      <c r="F1466" s="24"/>
      <c r="G1466" s="24"/>
      <c r="H1466" s="24"/>
      <c r="I1466" s="24"/>
      <c r="J1466" s="24" t="str">
        <f t="shared" si="43"/>
        <v/>
      </c>
      <c r="K1466" s="24">
        <f t="shared" si="44"/>
        <v>4160</v>
      </c>
    </row>
    <row r="1467" spans="1:11">
      <c r="A1467" s="35"/>
      <c r="B1467" s="24">
        <v>56</v>
      </c>
      <c r="C1467" s="23"/>
      <c r="D1467" s="23"/>
      <c r="E1467" s="24"/>
      <c r="F1467" s="24"/>
      <c r="G1467" s="24"/>
      <c r="H1467" s="24"/>
      <c r="I1467" s="24"/>
      <c r="J1467" s="24" t="str">
        <f t="shared" si="43"/>
        <v/>
      </c>
      <c r="K1467" s="24">
        <f t="shared" si="44"/>
        <v>4160</v>
      </c>
    </row>
    <row r="1468" spans="1:11">
      <c r="A1468" s="35"/>
      <c r="B1468" s="24">
        <v>57</v>
      </c>
      <c r="C1468" s="23"/>
      <c r="D1468" s="23"/>
      <c r="E1468" s="24"/>
      <c r="F1468" s="24"/>
      <c r="G1468" s="24"/>
      <c r="H1468" s="24"/>
      <c r="I1468" s="24"/>
      <c r="J1468" s="24" t="str">
        <f t="shared" si="43"/>
        <v/>
      </c>
      <c r="K1468" s="24">
        <f t="shared" si="44"/>
        <v>4160</v>
      </c>
    </row>
    <row r="1469" spans="1:11">
      <c r="A1469" s="35"/>
      <c r="B1469" s="24">
        <v>58</v>
      </c>
      <c r="C1469" s="23"/>
      <c r="D1469" s="23"/>
      <c r="E1469" s="24"/>
      <c r="F1469" s="24"/>
      <c r="G1469" s="24"/>
      <c r="H1469" s="24"/>
      <c r="I1469" s="24"/>
      <c r="J1469" s="24" t="str">
        <f t="shared" si="43"/>
        <v/>
      </c>
      <c r="K1469" s="24">
        <f t="shared" si="44"/>
        <v>4160</v>
      </c>
    </row>
    <row r="1470" spans="1:11">
      <c r="A1470" s="35"/>
      <c r="B1470" s="24">
        <v>59</v>
      </c>
      <c r="C1470" s="23"/>
      <c r="D1470" s="23"/>
      <c r="E1470" s="24"/>
      <c r="F1470" s="24"/>
      <c r="G1470" s="24"/>
      <c r="H1470" s="24"/>
      <c r="I1470" s="24"/>
      <c r="J1470" s="24" t="str">
        <f t="shared" si="43"/>
        <v/>
      </c>
      <c r="K1470" s="24">
        <f t="shared" si="44"/>
        <v>4160</v>
      </c>
    </row>
    <row r="1471" spans="1:11">
      <c r="A1471" s="35"/>
      <c r="B1471" s="24">
        <v>60</v>
      </c>
      <c r="C1471" s="23"/>
      <c r="D1471" s="23"/>
      <c r="E1471" s="24"/>
      <c r="F1471" s="24"/>
      <c r="G1471" s="24"/>
      <c r="H1471" s="24"/>
      <c r="I1471" s="24"/>
      <c r="J1471" s="24" t="str">
        <f t="shared" si="43"/>
        <v/>
      </c>
      <c r="K1471" s="24">
        <f t="shared" si="44"/>
        <v>4160</v>
      </c>
    </row>
    <row r="1472" spans="1:11">
      <c r="A1472" s="35"/>
      <c r="B1472" s="24">
        <v>61</v>
      </c>
      <c r="C1472" s="23"/>
      <c r="D1472" s="23"/>
      <c r="E1472" s="24"/>
      <c r="F1472" s="24"/>
      <c r="G1472" s="24"/>
      <c r="H1472" s="24"/>
      <c r="I1472" s="24"/>
      <c r="J1472" s="24" t="str">
        <f t="shared" si="43"/>
        <v/>
      </c>
      <c r="K1472" s="24">
        <f t="shared" si="44"/>
        <v>4160</v>
      </c>
    </row>
    <row r="1473" spans="1:11">
      <c r="A1473" s="35"/>
      <c r="B1473" s="34"/>
      <c r="C1473" s="34"/>
      <c r="D1473" s="34"/>
      <c r="E1473" s="34"/>
      <c r="F1473" s="34"/>
      <c r="G1473" s="34"/>
      <c r="H1473" s="34"/>
      <c r="I1473" s="33" t="s">
        <v>31</v>
      </c>
      <c r="J1473" s="33"/>
      <c r="K1473" s="24">
        <f>SUM(K1412:K1472)</f>
        <v>253760</v>
      </c>
    </row>
    <row r="1474" spans="1:11">
      <c r="I1474" s="27"/>
      <c r="J1474" s="27"/>
      <c r="K1474" s="24"/>
    </row>
    <row r="1477" spans="1:11">
      <c r="A1477" s="23">
        <v>23</v>
      </c>
      <c r="B1477" s="23" t="s">
        <v>0</v>
      </c>
      <c r="C1477" s="28" t="str">
        <f>IF('Navigation and Summary'!$B$31="", "", 'Navigation and Summary'!$B$31)</f>
        <v>BASIC 9B</v>
      </c>
      <c r="D1477" s="28"/>
      <c r="E1477" s="23" t="s">
        <v>37</v>
      </c>
      <c r="F1477" s="24">
        <f>IF('Navigation and Summary'!$C$31="", "", 'Navigation and Summary'!$C$31)</f>
        <v>4160</v>
      </c>
      <c r="G1477" s="23" t="s">
        <v>34</v>
      </c>
      <c r="H1477" s="24" t="str">
        <f>IF(C1477="", "", 'Navigation and Summary'!$G$6)</f>
        <v>2025-26</v>
      </c>
    </row>
    <row r="1478" spans="1:11">
      <c r="A1478" s="35"/>
      <c r="B1478" s="35" t="s">
        <v>32</v>
      </c>
      <c r="C1478" s="35"/>
      <c r="D1478" s="35"/>
      <c r="E1478" s="35"/>
      <c r="F1478" s="35"/>
      <c r="G1478" s="35"/>
      <c r="H1478" s="35"/>
      <c r="I1478" s="23"/>
      <c r="J1478" s="23"/>
      <c r="K1478" s="23"/>
    </row>
    <row r="1479" spans="1:11" ht="28.5">
      <c r="A1479" s="35"/>
      <c r="B1479" s="25" t="s">
        <v>1</v>
      </c>
      <c r="C1479" s="25" t="s">
        <v>2</v>
      </c>
      <c r="D1479" s="25"/>
      <c r="E1479" s="25" t="s">
        <v>3</v>
      </c>
      <c r="F1479" s="25" t="s">
        <v>4</v>
      </c>
      <c r="G1479" s="25" t="s">
        <v>5</v>
      </c>
      <c r="H1479" s="25" t="s">
        <v>6</v>
      </c>
      <c r="I1479" s="25" t="s">
        <v>7</v>
      </c>
      <c r="J1479" s="25" t="s">
        <v>8</v>
      </c>
      <c r="K1479" s="25" t="s">
        <v>9</v>
      </c>
    </row>
    <row r="1480" spans="1:11">
      <c r="A1480" s="35"/>
      <c r="B1480" s="24">
        <v>1</v>
      </c>
      <c r="C1480" s="23"/>
      <c r="D1480" s="23"/>
      <c r="E1480" s="24"/>
      <c r="F1480" s="24"/>
      <c r="G1480" s="24"/>
      <c r="H1480" s="24"/>
      <c r="I1480" s="24"/>
      <c r="J1480" s="24" t="str">
        <f>IF(SUM(E1480:I1480)=0, "", SUM(E1480:I1480))</f>
        <v/>
      </c>
      <c r="K1480" s="24">
        <f xml:space="preserve"> IFERROR(IF(($F$1477-J1480)=0, 0, ($F$1477-J1480)),$F$1477)</f>
        <v>4160</v>
      </c>
    </row>
    <row r="1481" spans="1:11">
      <c r="A1481" s="35"/>
      <c r="B1481" s="24">
        <v>2</v>
      </c>
      <c r="C1481" s="23"/>
      <c r="D1481" s="23"/>
      <c r="E1481" s="24"/>
      <c r="F1481" s="24"/>
      <c r="G1481" s="24"/>
      <c r="H1481" s="24"/>
      <c r="I1481" s="24"/>
      <c r="J1481" s="24" t="str">
        <f t="shared" ref="J1481:J1539" si="45">IF(SUM(E1481:I1481)=0, "", SUM(E1481:I1481))</f>
        <v/>
      </c>
      <c r="K1481" s="24">
        <f t="shared" ref="K1481:K1539" si="46" xml:space="preserve"> IFERROR(IF(($F$1477-J1481)=0, 0, ($F$1477-J1481)),$F$1477)</f>
        <v>4160</v>
      </c>
    </row>
    <row r="1482" spans="1:11">
      <c r="A1482" s="35"/>
      <c r="B1482" s="24">
        <v>3</v>
      </c>
      <c r="C1482" s="23"/>
      <c r="D1482" s="23"/>
      <c r="E1482" s="24"/>
      <c r="F1482" s="24"/>
      <c r="G1482" s="24"/>
      <c r="H1482" s="24"/>
      <c r="I1482" s="24"/>
      <c r="J1482" s="24" t="str">
        <f t="shared" si="45"/>
        <v/>
      </c>
      <c r="K1482" s="24">
        <f t="shared" si="46"/>
        <v>4160</v>
      </c>
    </row>
    <row r="1483" spans="1:11">
      <c r="A1483" s="35"/>
      <c r="B1483" s="24">
        <v>4</v>
      </c>
      <c r="C1483" s="23"/>
      <c r="D1483" s="23"/>
      <c r="E1483" s="24"/>
      <c r="F1483" s="24"/>
      <c r="G1483" s="24"/>
      <c r="H1483" s="24"/>
      <c r="I1483" s="24"/>
      <c r="J1483" s="24" t="str">
        <f t="shared" si="45"/>
        <v/>
      </c>
      <c r="K1483" s="24">
        <f t="shared" si="46"/>
        <v>4160</v>
      </c>
    </row>
    <row r="1484" spans="1:11">
      <c r="A1484" s="35"/>
      <c r="B1484" s="24">
        <v>5</v>
      </c>
      <c r="C1484" s="23"/>
      <c r="D1484" s="23"/>
      <c r="E1484" s="24"/>
      <c r="F1484" s="24"/>
      <c r="G1484" s="24"/>
      <c r="H1484" s="24"/>
      <c r="I1484" s="24"/>
      <c r="J1484" s="24" t="str">
        <f t="shared" si="45"/>
        <v/>
      </c>
      <c r="K1484" s="24">
        <f t="shared" si="46"/>
        <v>4160</v>
      </c>
    </row>
    <row r="1485" spans="1:11">
      <c r="A1485" s="35"/>
      <c r="B1485" s="24">
        <v>6</v>
      </c>
      <c r="C1485" s="23"/>
      <c r="D1485" s="23"/>
      <c r="E1485" s="24"/>
      <c r="F1485" s="24"/>
      <c r="G1485" s="24"/>
      <c r="H1485" s="24"/>
      <c r="I1485" s="24"/>
      <c r="J1485" s="24" t="str">
        <f t="shared" si="45"/>
        <v/>
      </c>
      <c r="K1485" s="24">
        <f t="shared" si="46"/>
        <v>4160</v>
      </c>
    </row>
    <row r="1486" spans="1:11">
      <c r="A1486" s="35"/>
      <c r="B1486" s="24">
        <v>7</v>
      </c>
      <c r="C1486" s="23"/>
      <c r="D1486" s="23"/>
      <c r="E1486" s="24"/>
      <c r="F1486" s="24"/>
      <c r="G1486" s="24"/>
      <c r="H1486" s="24"/>
      <c r="I1486" s="24"/>
      <c r="J1486" s="24" t="str">
        <f t="shared" si="45"/>
        <v/>
      </c>
      <c r="K1486" s="24">
        <f t="shared" si="46"/>
        <v>4160</v>
      </c>
    </row>
    <row r="1487" spans="1:11">
      <c r="A1487" s="35"/>
      <c r="B1487" s="24">
        <v>8</v>
      </c>
      <c r="C1487" s="23"/>
      <c r="D1487" s="23"/>
      <c r="E1487" s="24"/>
      <c r="F1487" s="24"/>
      <c r="G1487" s="24"/>
      <c r="H1487" s="24"/>
      <c r="I1487" s="24"/>
      <c r="J1487" s="24" t="str">
        <f t="shared" si="45"/>
        <v/>
      </c>
      <c r="K1487" s="24">
        <f t="shared" si="46"/>
        <v>4160</v>
      </c>
    </row>
    <row r="1488" spans="1:11">
      <c r="A1488" s="35"/>
      <c r="B1488" s="24">
        <v>9</v>
      </c>
      <c r="C1488" s="23"/>
      <c r="D1488" s="23"/>
      <c r="E1488" s="24"/>
      <c r="F1488" s="24"/>
      <c r="G1488" s="24"/>
      <c r="H1488" s="24"/>
      <c r="I1488" s="24"/>
      <c r="J1488" s="24" t="str">
        <f t="shared" si="45"/>
        <v/>
      </c>
      <c r="K1488" s="24">
        <f t="shared" si="46"/>
        <v>4160</v>
      </c>
    </row>
    <row r="1489" spans="1:11">
      <c r="A1489" s="35"/>
      <c r="B1489" s="24">
        <v>10</v>
      </c>
      <c r="C1489" s="23"/>
      <c r="D1489" s="23"/>
      <c r="E1489" s="24"/>
      <c r="F1489" s="24"/>
      <c r="G1489" s="24"/>
      <c r="H1489" s="24"/>
      <c r="I1489" s="24"/>
      <c r="J1489" s="24" t="str">
        <f t="shared" si="45"/>
        <v/>
      </c>
      <c r="K1489" s="24">
        <f t="shared" si="46"/>
        <v>4160</v>
      </c>
    </row>
    <row r="1490" spans="1:11">
      <c r="A1490" s="35"/>
      <c r="B1490" s="24">
        <v>11</v>
      </c>
      <c r="C1490" s="23"/>
      <c r="D1490" s="23"/>
      <c r="E1490" s="24"/>
      <c r="F1490" s="24"/>
      <c r="G1490" s="24"/>
      <c r="H1490" s="24"/>
      <c r="I1490" s="24"/>
      <c r="J1490" s="24" t="str">
        <f t="shared" si="45"/>
        <v/>
      </c>
      <c r="K1490" s="24">
        <f t="shared" si="46"/>
        <v>4160</v>
      </c>
    </row>
    <row r="1491" spans="1:11">
      <c r="A1491" s="35"/>
      <c r="B1491" s="24">
        <v>12</v>
      </c>
      <c r="C1491" s="23"/>
      <c r="D1491" s="23"/>
      <c r="E1491" s="24"/>
      <c r="F1491" s="24"/>
      <c r="G1491" s="24"/>
      <c r="H1491" s="24"/>
      <c r="I1491" s="24"/>
      <c r="J1491" s="24" t="str">
        <f t="shared" si="45"/>
        <v/>
      </c>
      <c r="K1491" s="24">
        <f t="shared" si="46"/>
        <v>4160</v>
      </c>
    </row>
    <row r="1492" spans="1:11">
      <c r="A1492" s="35"/>
      <c r="B1492" s="24">
        <v>13</v>
      </c>
      <c r="C1492" s="23"/>
      <c r="D1492" s="23"/>
      <c r="E1492" s="24"/>
      <c r="F1492" s="24"/>
      <c r="G1492" s="24"/>
      <c r="H1492" s="24"/>
      <c r="I1492" s="24"/>
      <c r="J1492" s="24" t="str">
        <f t="shared" si="45"/>
        <v/>
      </c>
      <c r="K1492" s="24">
        <f t="shared" si="46"/>
        <v>4160</v>
      </c>
    </row>
    <row r="1493" spans="1:11">
      <c r="A1493" s="35"/>
      <c r="B1493" s="24">
        <v>14</v>
      </c>
      <c r="C1493" s="23"/>
      <c r="D1493" s="23"/>
      <c r="E1493" s="24"/>
      <c r="F1493" s="24"/>
      <c r="G1493" s="24"/>
      <c r="H1493" s="24"/>
      <c r="I1493" s="24"/>
      <c r="J1493" s="24" t="str">
        <f t="shared" si="45"/>
        <v/>
      </c>
      <c r="K1493" s="24">
        <f t="shared" si="46"/>
        <v>4160</v>
      </c>
    </row>
    <row r="1494" spans="1:11">
      <c r="A1494" s="35"/>
      <c r="B1494" s="24">
        <v>15</v>
      </c>
      <c r="C1494" s="23"/>
      <c r="D1494" s="23"/>
      <c r="E1494" s="24"/>
      <c r="F1494" s="24"/>
      <c r="G1494" s="24"/>
      <c r="H1494" s="24"/>
      <c r="I1494" s="24"/>
      <c r="J1494" s="24" t="str">
        <f t="shared" si="45"/>
        <v/>
      </c>
      <c r="K1494" s="24">
        <f t="shared" si="46"/>
        <v>4160</v>
      </c>
    </row>
    <row r="1495" spans="1:11">
      <c r="A1495" s="35"/>
      <c r="B1495" s="24">
        <v>16</v>
      </c>
      <c r="C1495" s="23"/>
      <c r="D1495" s="23"/>
      <c r="E1495" s="24"/>
      <c r="F1495" s="24"/>
      <c r="G1495" s="24"/>
      <c r="H1495" s="24"/>
      <c r="I1495" s="24"/>
      <c r="J1495" s="24" t="str">
        <f t="shared" si="45"/>
        <v/>
      </c>
      <c r="K1495" s="24">
        <f t="shared" si="46"/>
        <v>4160</v>
      </c>
    </row>
    <row r="1496" spans="1:11">
      <c r="A1496" s="35"/>
      <c r="B1496" s="24">
        <v>17</v>
      </c>
      <c r="C1496" s="23"/>
      <c r="D1496" s="23"/>
      <c r="E1496" s="24"/>
      <c r="F1496" s="24"/>
      <c r="G1496" s="24"/>
      <c r="H1496" s="24"/>
      <c r="I1496" s="24"/>
      <c r="J1496" s="24" t="str">
        <f t="shared" si="45"/>
        <v/>
      </c>
      <c r="K1496" s="24">
        <f t="shared" si="46"/>
        <v>4160</v>
      </c>
    </row>
    <row r="1497" spans="1:11">
      <c r="A1497" s="35"/>
      <c r="B1497" s="24">
        <v>18</v>
      </c>
      <c r="C1497" s="23"/>
      <c r="D1497" s="23"/>
      <c r="E1497" s="24"/>
      <c r="F1497" s="24"/>
      <c r="G1497" s="24"/>
      <c r="H1497" s="24"/>
      <c r="I1497" s="24"/>
      <c r="J1497" s="24" t="str">
        <f t="shared" si="45"/>
        <v/>
      </c>
      <c r="K1497" s="24">
        <f t="shared" si="46"/>
        <v>4160</v>
      </c>
    </row>
    <row r="1498" spans="1:11">
      <c r="A1498" s="35"/>
      <c r="B1498" s="24">
        <v>19</v>
      </c>
      <c r="C1498" s="23"/>
      <c r="D1498" s="23"/>
      <c r="E1498" s="24"/>
      <c r="F1498" s="24"/>
      <c r="G1498" s="24"/>
      <c r="H1498" s="24"/>
      <c r="I1498" s="24"/>
      <c r="J1498" s="24" t="str">
        <f t="shared" si="45"/>
        <v/>
      </c>
      <c r="K1498" s="24">
        <f t="shared" si="46"/>
        <v>4160</v>
      </c>
    </row>
    <row r="1499" spans="1:11">
      <c r="A1499" s="35"/>
      <c r="B1499" s="24">
        <v>20</v>
      </c>
      <c r="C1499" s="23"/>
      <c r="D1499" s="23"/>
      <c r="E1499" s="24"/>
      <c r="F1499" s="24"/>
      <c r="G1499" s="24"/>
      <c r="H1499" s="24"/>
      <c r="I1499" s="24"/>
      <c r="J1499" s="24" t="str">
        <f t="shared" si="45"/>
        <v/>
      </c>
      <c r="K1499" s="24">
        <f t="shared" si="46"/>
        <v>4160</v>
      </c>
    </row>
    <row r="1500" spans="1:11">
      <c r="A1500" s="35"/>
      <c r="B1500" s="24">
        <v>21</v>
      </c>
      <c r="C1500" s="23"/>
      <c r="D1500" s="23"/>
      <c r="E1500" s="24"/>
      <c r="F1500" s="24"/>
      <c r="G1500" s="24"/>
      <c r="H1500" s="24"/>
      <c r="I1500" s="24"/>
      <c r="J1500" s="24" t="str">
        <f t="shared" si="45"/>
        <v/>
      </c>
      <c r="K1500" s="24">
        <f t="shared" si="46"/>
        <v>4160</v>
      </c>
    </row>
    <row r="1501" spans="1:11">
      <c r="A1501" s="35"/>
      <c r="B1501" s="24">
        <v>22</v>
      </c>
      <c r="C1501" s="23"/>
      <c r="D1501" s="23"/>
      <c r="E1501" s="24"/>
      <c r="F1501" s="24"/>
      <c r="G1501" s="24"/>
      <c r="H1501" s="24"/>
      <c r="I1501" s="24"/>
      <c r="J1501" s="24" t="str">
        <f t="shared" si="45"/>
        <v/>
      </c>
      <c r="K1501" s="24">
        <f t="shared" si="46"/>
        <v>4160</v>
      </c>
    </row>
    <row r="1502" spans="1:11">
      <c r="A1502" s="35"/>
      <c r="B1502" s="24">
        <v>23</v>
      </c>
      <c r="C1502" s="23"/>
      <c r="D1502" s="23"/>
      <c r="E1502" s="24"/>
      <c r="F1502" s="24"/>
      <c r="G1502" s="24"/>
      <c r="H1502" s="24"/>
      <c r="I1502" s="24"/>
      <c r="J1502" s="24" t="str">
        <f t="shared" si="45"/>
        <v/>
      </c>
      <c r="K1502" s="24">
        <f t="shared" si="46"/>
        <v>4160</v>
      </c>
    </row>
    <row r="1503" spans="1:11">
      <c r="A1503" s="35"/>
      <c r="B1503" s="24">
        <v>24</v>
      </c>
      <c r="C1503" s="23"/>
      <c r="D1503" s="23"/>
      <c r="E1503" s="24"/>
      <c r="F1503" s="24"/>
      <c r="G1503" s="24"/>
      <c r="H1503" s="24"/>
      <c r="I1503" s="24"/>
      <c r="J1503" s="24" t="str">
        <f t="shared" si="45"/>
        <v/>
      </c>
      <c r="K1503" s="24">
        <f t="shared" si="46"/>
        <v>4160</v>
      </c>
    </row>
    <row r="1504" spans="1:11">
      <c r="A1504" s="35"/>
      <c r="B1504" s="24">
        <v>25</v>
      </c>
      <c r="C1504" s="23"/>
      <c r="D1504" s="23"/>
      <c r="E1504" s="24"/>
      <c r="F1504" s="24"/>
      <c r="G1504" s="24"/>
      <c r="H1504" s="24"/>
      <c r="I1504" s="24"/>
      <c r="J1504" s="24" t="str">
        <f t="shared" si="45"/>
        <v/>
      </c>
      <c r="K1504" s="24">
        <f t="shared" si="46"/>
        <v>4160</v>
      </c>
    </row>
    <row r="1505" spans="1:11">
      <c r="A1505" s="35"/>
      <c r="B1505" s="24">
        <v>26</v>
      </c>
      <c r="C1505" s="23"/>
      <c r="D1505" s="23"/>
      <c r="E1505" s="24"/>
      <c r="F1505" s="24"/>
      <c r="G1505" s="24"/>
      <c r="H1505" s="24"/>
      <c r="I1505" s="24"/>
      <c r="J1505" s="24" t="str">
        <f t="shared" si="45"/>
        <v/>
      </c>
      <c r="K1505" s="24">
        <f t="shared" si="46"/>
        <v>4160</v>
      </c>
    </row>
    <row r="1506" spans="1:11">
      <c r="A1506" s="35"/>
      <c r="B1506" s="24">
        <v>27</v>
      </c>
      <c r="C1506" s="23"/>
      <c r="D1506" s="23"/>
      <c r="E1506" s="24"/>
      <c r="F1506" s="24"/>
      <c r="G1506" s="24"/>
      <c r="H1506" s="24"/>
      <c r="I1506" s="24"/>
      <c r="J1506" s="24" t="str">
        <f t="shared" si="45"/>
        <v/>
      </c>
      <c r="K1506" s="24">
        <f t="shared" si="46"/>
        <v>4160</v>
      </c>
    </row>
    <row r="1507" spans="1:11">
      <c r="A1507" s="35"/>
      <c r="B1507" s="24">
        <v>28</v>
      </c>
      <c r="C1507" s="23"/>
      <c r="D1507" s="23"/>
      <c r="E1507" s="24"/>
      <c r="F1507" s="24"/>
      <c r="G1507" s="24"/>
      <c r="H1507" s="24"/>
      <c r="I1507" s="24"/>
      <c r="J1507" s="24" t="str">
        <f t="shared" si="45"/>
        <v/>
      </c>
      <c r="K1507" s="24">
        <f t="shared" si="46"/>
        <v>4160</v>
      </c>
    </row>
    <row r="1508" spans="1:11">
      <c r="A1508" s="35"/>
      <c r="B1508" s="24">
        <v>29</v>
      </c>
      <c r="C1508" s="23"/>
      <c r="D1508" s="23"/>
      <c r="E1508" s="24"/>
      <c r="F1508" s="24"/>
      <c r="G1508" s="24"/>
      <c r="H1508" s="24"/>
      <c r="I1508" s="24"/>
      <c r="J1508" s="24" t="str">
        <f t="shared" si="45"/>
        <v/>
      </c>
      <c r="K1508" s="24">
        <f t="shared" si="46"/>
        <v>4160</v>
      </c>
    </row>
    <row r="1509" spans="1:11">
      <c r="A1509" s="35"/>
      <c r="B1509" s="24">
        <v>30</v>
      </c>
      <c r="C1509" s="23"/>
      <c r="D1509" s="23"/>
      <c r="E1509" s="24"/>
      <c r="F1509" s="24"/>
      <c r="G1509" s="24"/>
      <c r="H1509" s="24"/>
      <c r="I1509" s="24"/>
      <c r="J1509" s="24" t="str">
        <f t="shared" si="45"/>
        <v/>
      </c>
      <c r="K1509" s="24">
        <f t="shared" si="46"/>
        <v>4160</v>
      </c>
    </row>
    <row r="1510" spans="1:11">
      <c r="A1510" s="35"/>
      <c r="B1510" s="24">
        <v>31</v>
      </c>
      <c r="C1510" s="23"/>
      <c r="D1510" s="23"/>
      <c r="E1510" s="24"/>
      <c r="F1510" s="24"/>
      <c r="G1510" s="24"/>
      <c r="H1510" s="24"/>
      <c r="I1510" s="24"/>
      <c r="J1510" s="24" t="str">
        <f t="shared" si="45"/>
        <v/>
      </c>
      <c r="K1510" s="24">
        <f t="shared" si="46"/>
        <v>4160</v>
      </c>
    </row>
    <row r="1511" spans="1:11">
      <c r="A1511" s="35"/>
      <c r="B1511" s="24">
        <v>32</v>
      </c>
      <c r="C1511" s="23"/>
      <c r="D1511" s="23"/>
      <c r="E1511" s="24"/>
      <c r="F1511" s="24"/>
      <c r="G1511" s="24"/>
      <c r="H1511" s="24"/>
      <c r="I1511" s="24"/>
      <c r="J1511" s="24" t="str">
        <f t="shared" si="45"/>
        <v/>
      </c>
      <c r="K1511" s="24">
        <f t="shared" si="46"/>
        <v>4160</v>
      </c>
    </row>
    <row r="1512" spans="1:11">
      <c r="A1512" s="35"/>
      <c r="B1512" s="24">
        <v>33</v>
      </c>
      <c r="C1512" s="23"/>
      <c r="D1512" s="23"/>
      <c r="E1512" s="24"/>
      <c r="F1512" s="24"/>
      <c r="G1512" s="24"/>
      <c r="H1512" s="24"/>
      <c r="I1512" s="24"/>
      <c r="J1512" s="24" t="str">
        <f t="shared" si="45"/>
        <v/>
      </c>
      <c r="K1512" s="24">
        <f t="shared" si="46"/>
        <v>4160</v>
      </c>
    </row>
    <row r="1513" spans="1:11">
      <c r="A1513" s="35"/>
      <c r="B1513" s="24">
        <v>34</v>
      </c>
      <c r="C1513" s="23"/>
      <c r="D1513" s="23"/>
      <c r="E1513" s="24"/>
      <c r="F1513" s="24"/>
      <c r="G1513" s="24"/>
      <c r="H1513" s="24"/>
      <c r="I1513" s="24"/>
      <c r="J1513" s="24" t="str">
        <f t="shared" si="45"/>
        <v/>
      </c>
      <c r="K1513" s="24">
        <f t="shared" si="46"/>
        <v>4160</v>
      </c>
    </row>
    <row r="1514" spans="1:11">
      <c r="A1514" s="35"/>
      <c r="B1514" s="24">
        <v>35</v>
      </c>
      <c r="C1514" s="23"/>
      <c r="D1514" s="23"/>
      <c r="E1514" s="24"/>
      <c r="F1514" s="24"/>
      <c r="G1514" s="24"/>
      <c r="H1514" s="24"/>
      <c r="I1514" s="24"/>
      <c r="J1514" s="24" t="str">
        <f t="shared" si="45"/>
        <v/>
      </c>
      <c r="K1514" s="24">
        <f t="shared" si="46"/>
        <v>4160</v>
      </c>
    </row>
    <row r="1515" spans="1:11">
      <c r="A1515" s="35"/>
      <c r="B1515" s="24">
        <v>36</v>
      </c>
      <c r="C1515" s="23"/>
      <c r="D1515" s="23"/>
      <c r="E1515" s="24"/>
      <c r="F1515" s="24"/>
      <c r="G1515" s="24"/>
      <c r="H1515" s="24"/>
      <c r="I1515" s="24"/>
      <c r="J1515" s="24" t="str">
        <f t="shared" si="45"/>
        <v/>
      </c>
      <c r="K1515" s="24">
        <f t="shared" si="46"/>
        <v>4160</v>
      </c>
    </row>
    <row r="1516" spans="1:11">
      <c r="A1516" s="35"/>
      <c r="B1516" s="24">
        <v>37</v>
      </c>
      <c r="C1516" s="23"/>
      <c r="D1516" s="23"/>
      <c r="E1516" s="24"/>
      <c r="F1516" s="24"/>
      <c r="G1516" s="24"/>
      <c r="H1516" s="24"/>
      <c r="I1516" s="24"/>
      <c r="J1516" s="24" t="str">
        <f t="shared" si="45"/>
        <v/>
      </c>
      <c r="K1516" s="24">
        <f t="shared" si="46"/>
        <v>4160</v>
      </c>
    </row>
    <row r="1517" spans="1:11">
      <c r="A1517" s="35"/>
      <c r="B1517" s="24">
        <v>38</v>
      </c>
      <c r="C1517" s="23"/>
      <c r="D1517" s="23"/>
      <c r="E1517" s="24"/>
      <c r="F1517" s="24"/>
      <c r="G1517" s="24"/>
      <c r="H1517" s="24"/>
      <c r="I1517" s="24"/>
      <c r="J1517" s="24" t="str">
        <f t="shared" si="45"/>
        <v/>
      </c>
      <c r="K1517" s="24">
        <f t="shared" si="46"/>
        <v>4160</v>
      </c>
    </row>
    <row r="1518" spans="1:11">
      <c r="A1518" s="35"/>
      <c r="B1518" s="24">
        <v>39</v>
      </c>
      <c r="C1518" s="23"/>
      <c r="D1518" s="23"/>
      <c r="E1518" s="24"/>
      <c r="F1518" s="24"/>
      <c r="G1518" s="24"/>
      <c r="H1518" s="24"/>
      <c r="I1518" s="24"/>
      <c r="J1518" s="24" t="str">
        <f t="shared" si="45"/>
        <v/>
      </c>
      <c r="K1518" s="24">
        <f t="shared" si="46"/>
        <v>4160</v>
      </c>
    </row>
    <row r="1519" spans="1:11">
      <c r="A1519" s="35"/>
      <c r="B1519" s="24">
        <v>40</v>
      </c>
      <c r="C1519" s="23"/>
      <c r="D1519" s="23"/>
      <c r="E1519" s="24"/>
      <c r="F1519" s="24"/>
      <c r="G1519" s="24"/>
      <c r="H1519" s="24"/>
      <c r="I1519" s="24"/>
      <c r="J1519" s="24" t="str">
        <f t="shared" si="45"/>
        <v/>
      </c>
      <c r="K1519" s="24">
        <f t="shared" si="46"/>
        <v>4160</v>
      </c>
    </row>
    <row r="1520" spans="1:11">
      <c r="A1520" s="35"/>
      <c r="B1520" s="24">
        <v>41</v>
      </c>
      <c r="C1520" s="23"/>
      <c r="D1520" s="23"/>
      <c r="E1520" s="24"/>
      <c r="F1520" s="24"/>
      <c r="G1520" s="24"/>
      <c r="H1520" s="24"/>
      <c r="I1520" s="24"/>
      <c r="J1520" s="24" t="str">
        <f t="shared" si="45"/>
        <v/>
      </c>
      <c r="K1520" s="24">
        <f t="shared" si="46"/>
        <v>4160</v>
      </c>
    </row>
    <row r="1521" spans="1:11">
      <c r="A1521" s="35"/>
      <c r="B1521" s="24">
        <v>42</v>
      </c>
      <c r="C1521" s="23"/>
      <c r="D1521" s="23"/>
      <c r="E1521" s="24"/>
      <c r="F1521" s="24"/>
      <c r="G1521" s="24"/>
      <c r="H1521" s="24"/>
      <c r="I1521" s="24"/>
      <c r="J1521" s="24" t="str">
        <f t="shared" si="45"/>
        <v/>
      </c>
      <c r="K1521" s="24">
        <f t="shared" si="46"/>
        <v>4160</v>
      </c>
    </row>
    <row r="1522" spans="1:11">
      <c r="A1522" s="35"/>
      <c r="B1522" s="24">
        <v>43</v>
      </c>
      <c r="C1522" s="23"/>
      <c r="D1522" s="23"/>
      <c r="E1522" s="24"/>
      <c r="F1522" s="24"/>
      <c r="G1522" s="24"/>
      <c r="H1522" s="24"/>
      <c r="I1522" s="24"/>
      <c r="J1522" s="24" t="str">
        <f t="shared" si="45"/>
        <v/>
      </c>
      <c r="K1522" s="24">
        <f t="shared" si="46"/>
        <v>4160</v>
      </c>
    </row>
    <row r="1523" spans="1:11">
      <c r="A1523" s="35"/>
      <c r="B1523" s="24">
        <v>44</v>
      </c>
      <c r="C1523" s="23"/>
      <c r="D1523" s="23"/>
      <c r="E1523" s="24"/>
      <c r="F1523" s="24"/>
      <c r="G1523" s="24"/>
      <c r="H1523" s="24"/>
      <c r="I1523" s="24"/>
      <c r="J1523" s="24" t="str">
        <f t="shared" si="45"/>
        <v/>
      </c>
      <c r="K1523" s="24">
        <f t="shared" si="46"/>
        <v>4160</v>
      </c>
    </row>
    <row r="1524" spans="1:11">
      <c r="A1524" s="35"/>
      <c r="B1524" s="24">
        <v>45</v>
      </c>
      <c r="C1524" s="23"/>
      <c r="D1524" s="23"/>
      <c r="E1524" s="24"/>
      <c r="F1524" s="24"/>
      <c r="G1524" s="24"/>
      <c r="H1524" s="24"/>
      <c r="I1524" s="24"/>
      <c r="J1524" s="24" t="str">
        <f t="shared" si="45"/>
        <v/>
      </c>
      <c r="K1524" s="24">
        <f t="shared" si="46"/>
        <v>4160</v>
      </c>
    </row>
    <row r="1525" spans="1:11">
      <c r="A1525" s="35"/>
      <c r="B1525" s="24">
        <v>46</v>
      </c>
      <c r="C1525" s="23"/>
      <c r="D1525" s="23"/>
      <c r="E1525" s="24"/>
      <c r="F1525" s="24"/>
      <c r="G1525" s="24"/>
      <c r="H1525" s="24"/>
      <c r="I1525" s="24"/>
      <c r="J1525" s="24" t="str">
        <f t="shared" si="45"/>
        <v/>
      </c>
      <c r="K1525" s="24">
        <f t="shared" si="46"/>
        <v>4160</v>
      </c>
    </row>
    <row r="1526" spans="1:11">
      <c r="A1526" s="35"/>
      <c r="B1526" s="24">
        <v>47</v>
      </c>
      <c r="C1526" s="23"/>
      <c r="D1526" s="23"/>
      <c r="E1526" s="24"/>
      <c r="F1526" s="24"/>
      <c r="G1526" s="24"/>
      <c r="H1526" s="24"/>
      <c r="I1526" s="24"/>
      <c r="J1526" s="24" t="str">
        <f t="shared" si="45"/>
        <v/>
      </c>
      <c r="K1526" s="24">
        <f t="shared" si="46"/>
        <v>4160</v>
      </c>
    </row>
    <row r="1527" spans="1:11">
      <c r="A1527" s="35"/>
      <c r="B1527" s="24">
        <v>48</v>
      </c>
      <c r="C1527" s="23"/>
      <c r="D1527" s="23"/>
      <c r="E1527" s="24"/>
      <c r="F1527" s="24"/>
      <c r="G1527" s="24"/>
      <c r="H1527" s="24"/>
      <c r="I1527" s="24"/>
      <c r="J1527" s="24" t="str">
        <f t="shared" si="45"/>
        <v/>
      </c>
      <c r="K1527" s="24">
        <f t="shared" si="46"/>
        <v>4160</v>
      </c>
    </row>
    <row r="1528" spans="1:11">
      <c r="A1528" s="35"/>
      <c r="B1528" s="24">
        <v>49</v>
      </c>
      <c r="C1528" s="23"/>
      <c r="D1528" s="23"/>
      <c r="E1528" s="24"/>
      <c r="F1528" s="24"/>
      <c r="G1528" s="24"/>
      <c r="H1528" s="24"/>
      <c r="I1528" s="24"/>
      <c r="J1528" s="24" t="str">
        <f t="shared" si="45"/>
        <v/>
      </c>
      <c r="K1528" s="24">
        <f t="shared" si="46"/>
        <v>4160</v>
      </c>
    </row>
    <row r="1529" spans="1:11">
      <c r="A1529" s="35"/>
      <c r="B1529" s="24">
        <v>50</v>
      </c>
      <c r="C1529" s="23"/>
      <c r="D1529" s="23"/>
      <c r="E1529" s="24"/>
      <c r="F1529" s="24"/>
      <c r="G1529" s="24"/>
      <c r="H1529" s="24"/>
      <c r="I1529" s="24"/>
      <c r="J1529" s="24" t="str">
        <f t="shared" si="45"/>
        <v/>
      </c>
      <c r="K1529" s="24">
        <f t="shared" si="46"/>
        <v>4160</v>
      </c>
    </row>
    <row r="1530" spans="1:11">
      <c r="A1530" s="35"/>
      <c r="B1530" s="24">
        <v>51</v>
      </c>
      <c r="C1530" s="23"/>
      <c r="D1530" s="23"/>
      <c r="E1530" s="24"/>
      <c r="F1530" s="24"/>
      <c r="G1530" s="24"/>
      <c r="H1530" s="24"/>
      <c r="I1530" s="24"/>
      <c r="J1530" s="24" t="str">
        <f t="shared" si="45"/>
        <v/>
      </c>
      <c r="K1530" s="24">
        <f t="shared" si="46"/>
        <v>4160</v>
      </c>
    </row>
    <row r="1531" spans="1:11">
      <c r="A1531" s="35"/>
      <c r="B1531" s="24">
        <v>52</v>
      </c>
      <c r="C1531" s="23"/>
      <c r="D1531" s="23"/>
      <c r="E1531" s="24"/>
      <c r="F1531" s="24"/>
      <c r="G1531" s="24"/>
      <c r="H1531" s="24"/>
      <c r="I1531" s="24"/>
      <c r="J1531" s="24" t="str">
        <f t="shared" si="45"/>
        <v/>
      </c>
      <c r="K1531" s="24">
        <f t="shared" si="46"/>
        <v>4160</v>
      </c>
    </row>
    <row r="1532" spans="1:11">
      <c r="A1532" s="35"/>
      <c r="B1532" s="24">
        <v>53</v>
      </c>
      <c r="C1532" s="23"/>
      <c r="D1532" s="23"/>
      <c r="E1532" s="24"/>
      <c r="F1532" s="24"/>
      <c r="G1532" s="24"/>
      <c r="H1532" s="24"/>
      <c r="I1532" s="24"/>
      <c r="J1532" s="24" t="str">
        <f t="shared" si="45"/>
        <v/>
      </c>
      <c r="K1532" s="24">
        <f t="shared" si="46"/>
        <v>4160</v>
      </c>
    </row>
    <row r="1533" spans="1:11">
      <c r="A1533" s="35"/>
      <c r="B1533" s="24">
        <v>54</v>
      </c>
      <c r="C1533" s="23"/>
      <c r="D1533" s="23"/>
      <c r="E1533" s="24"/>
      <c r="F1533" s="24"/>
      <c r="G1533" s="24"/>
      <c r="H1533" s="24"/>
      <c r="I1533" s="24"/>
      <c r="J1533" s="24" t="str">
        <f t="shared" si="45"/>
        <v/>
      </c>
      <c r="K1533" s="24">
        <f t="shared" si="46"/>
        <v>4160</v>
      </c>
    </row>
    <row r="1534" spans="1:11">
      <c r="A1534" s="35"/>
      <c r="B1534" s="24">
        <v>55</v>
      </c>
      <c r="C1534" s="23"/>
      <c r="D1534" s="23"/>
      <c r="E1534" s="24"/>
      <c r="F1534" s="24"/>
      <c r="G1534" s="24"/>
      <c r="H1534" s="24"/>
      <c r="I1534" s="24"/>
      <c r="J1534" s="24" t="str">
        <f t="shared" si="45"/>
        <v/>
      </c>
      <c r="K1534" s="24">
        <f t="shared" si="46"/>
        <v>4160</v>
      </c>
    </row>
    <row r="1535" spans="1:11">
      <c r="A1535" s="35"/>
      <c r="B1535" s="24">
        <v>56</v>
      </c>
      <c r="C1535" s="23"/>
      <c r="D1535" s="23"/>
      <c r="E1535" s="24"/>
      <c r="F1535" s="24"/>
      <c r="G1535" s="24"/>
      <c r="H1535" s="24"/>
      <c r="I1535" s="24"/>
      <c r="J1535" s="24" t="str">
        <f t="shared" si="45"/>
        <v/>
      </c>
      <c r="K1535" s="24">
        <f t="shared" si="46"/>
        <v>4160</v>
      </c>
    </row>
    <row r="1536" spans="1:11">
      <c r="A1536" s="35"/>
      <c r="B1536" s="24">
        <v>57</v>
      </c>
      <c r="C1536" s="23"/>
      <c r="D1536" s="23"/>
      <c r="E1536" s="24"/>
      <c r="F1536" s="24"/>
      <c r="G1536" s="24"/>
      <c r="H1536" s="24"/>
      <c r="I1536" s="24"/>
      <c r="J1536" s="24" t="str">
        <f t="shared" si="45"/>
        <v/>
      </c>
      <c r="K1536" s="24">
        <f t="shared" si="46"/>
        <v>4160</v>
      </c>
    </row>
    <row r="1537" spans="1:11">
      <c r="A1537" s="35"/>
      <c r="B1537" s="24">
        <v>58</v>
      </c>
      <c r="C1537" s="23"/>
      <c r="D1537" s="23"/>
      <c r="E1537" s="24"/>
      <c r="F1537" s="24"/>
      <c r="G1537" s="24"/>
      <c r="H1537" s="24"/>
      <c r="I1537" s="24"/>
      <c r="J1537" s="24" t="str">
        <f t="shared" si="45"/>
        <v/>
      </c>
      <c r="K1537" s="24">
        <f t="shared" si="46"/>
        <v>4160</v>
      </c>
    </row>
    <row r="1538" spans="1:11">
      <c r="A1538" s="35"/>
      <c r="B1538" s="24">
        <v>59</v>
      </c>
      <c r="C1538" s="23"/>
      <c r="D1538" s="23"/>
      <c r="E1538" s="24"/>
      <c r="F1538" s="24"/>
      <c r="G1538" s="24"/>
      <c r="H1538" s="24"/>
      <c r="I1538" s="24"/>
      <c r="J1538" s="24" t="str">
        <f t="shared" si="45"/>
        <v/>
      </c>
      <c r="K1538" s="24">
        <f t="shared" si="46"/>
        <v>4160</v>
      </c>
    </row>
    <row r="1539" spans="1:11">
      <c r="A1539" s="35"/>
      <c r="B1539" s="24">
        <v>60</v>
      </c>
      <c r="C1539" s="23"/>
      <c r="D1539" s="23"/>
      <c r="E1539" s="24"/>
      <c r="F1539" s="24"/>
      <c r="G1539" s="24"/>
      <c r="H1539" s="24"/>
      <c r="I1539" s="24"/>
      <c r="J1539" s="24" t="str">
        <f t="shared" si="45"/>
        <v/>
      </c>
      <c r="K1539" s="24">
        <f t="shared" si="46"/>
        <v>4160</v>
      </c>
    </row>
    <row r="1540" spans="1:11">
      <c r="A1540" s="35"/>
      <c r="B1540" s="34"/>
      <c r="C1540" s="34"/>
      <c r="D1540" s="34"/>
      <c r="E1540" s="34"/>
      <c r="F1540" s="34"/>
      <c r="G1540" s="34"/>
      <c r="H1540" s="34"/>
      <c r="I1540" s="33" t="s">
        <v>31</v>
      </c>
      <c r="J1540" s="33"/>
      <c r="K1540" s="24">
        <f>SUM(K1480:K1539)</f>
        <v>249600</v>
      </c>
    </row>
    <row r="1541" spans="1:11">
      <c r="I1541" s="27"/>
      <c r="J1541" s="27"/>
      <c r="K1541" s="24"/>
    </row>
    <row r="1542" spans="1:11">
      <c r="I1542" s="27"/>
      <c r="J1542" s="27"/>
      <c r="K1542" s="24"/>
    </row>
    <row r="1544" spans="1:11">
      <c r="A1544" s="23">
        <v>24</v>
      </c>
      <c r="B1544" s="23" t="s">
        <v>0</v>
      </c>
      <c r="C1544" s="28" t="str">
        <f>IF('Navigation and Summary'!$B$32="", "", 'Navigation and Summary'!$B$32)</f>
        <v/>
      </c>
      <c r="D1544" s="28"/>
      <c r="E1544" s="23" t="s">
        <v>37</v>
      </c>
      <c r="F1544" s="24" t="str">
        <f>IF('Navigation and Summary'!$C$32="", "", 'Navigation and Summary'!$C$32)</f>
        <v/>
      </c>
      <c r="G1544" s="23" t="s">
        <v>34</v>
      </c>
      <c r="H1544" s="24" t="str">
        <f>IF(C1544="", "", 'Navigation and Summary'!$G$6)</f>
        <v/>
      </c>
    </row>
    <row r="1545" spans="1:11">
      <c r="A1545" s="35"/>
      <c r="B1545" s="35" t="s">
        <v>32</v>
      </c>
      <c r="C1545" s="35"/>
      <c r="D1545" s="35"/>
      <c r="E1545" s="35"/>
      <c r="F1545" s="35"/>
      <c r="G1545" s="35"/>
      <c r="H1545" s="35"/>
      <c r="I1545" s="23"/>
      <c r="J1545" s="23"/>
      <c r="K1545" s="23"/>
    </row>
    <row r="1546" spans="1:11" ht="28.5">
      <c r="A1546" s="35"/>
      <c r="B1546" s="25" t="s">
        <v>1</v>
      </c>
      <c r="C1546" s="25" t="s">
        <v>2</v>
      </c>
      <c r="D1546" s="25"/>
      <c r="E1546" s="25" t="s">
        <v>3</v>
      </c>
      <c r="F1546" s="25" t="s">
        <v>4</v>
      </c>
      <c r="G1546" s="25" t="s">
        <v>5</v>
      </c>
      <c r="H1546" s="25" t="s">
        <v>6</v>
      </c>
      <c r="I1546" s="25" t="s">
        <v>7</v>
      </c>
      <c r="J1546" s="25" t="s">
        <v>8</v>
      </c>
      <c r="K1546" s="25" t="s">
        <v>9</v>
      </c>
    </row>
    <row r="1547" spans="1:11">
      <c r="A1547" s="35"/>
      <c r="B1547" s="24">
        <v>1</v>
      </c>
      <c r="C1547" s="23"/>
      <c r="D1547" s="23"/>
      <c r="E1547" s="24"/>
      <c r="F1547" s="24"/>
      <c r="G1547" s="24"/>
      <c r="H1547" s="24"/>
      <c r="I1547" s="24"/>
      <c r="J1547" s="24" t="str">
        <f>IF(SUM(E1547:I1547)=0, "", SUM(E1547:I1547))</f>
        <v/>
      </c>
      <c r="K1547" s="24" t="str">
        <f xml:space="preserve"> IFERROR(IF(($F$1544-J1547)=0, 0, ($F$1544-J1547)),$F$1544)</f>
        <v/>
      </c>
    </row>
    <row r="1548" spans="1:11">
      <c r="A1548" s="35"/>
      <c r="B1548" s="24">
        <v>2</v>
      </c>
      <c r="C1548" s="23"/>
      <c r="D1548" s="23"/>
      <c r="E1548" s="24"/>
      <c r="F1548" s="24"/>
      <c r="G1548" s="24"/>
      <c r="H1548" s="24"/>
      <c r="I1548" s="24"/>
      <c r="J1548" s="24" t="str">
        <f t="shared" ref="J1548:J1606" si="47">IF(SUM(E1548:I1548)=0, "", SUM(E1548:I1548))</f>
        <v/>
      </c>
      <c r="K1548" s="24" t="str">
        <f t="shared" ref="K1548:K1606" si="48" xml:space="preserve"> IFERROR(IF(($F$1544-J1548)=0, 0, ($F$1544-J1548)),$F$1544)</f>
        <v/>
      </c>
    </row>
    <row r="1549" spans="1:11">
      <c r="A1549" s="35"/>
      <c r="B1549" s="24">
        <v>3</v>
      </c>
      <c r="C1549" s="23"/>
      <c r="D1549" s="23"/>
      <c r="E1549" s="24"/>
      <c r="F1549" s="24"/>
      <c r="G1549" s="24"/>
      <c r="H1549" s="24"/>
      <c r="I1549" s="24"/>
      <c r="J1549" s="24" t="str">
        <f t="shared" si="47"/>
        <v/>
      </c>
      <c r="K1549" s="24" t="str">
        <f t="shared" si="48"/>
        <v/>
      </c>
    </row>
    <row r="1550" spans="1:11">
      <c r="A1550" s="35"/>
      <c r="B1550" s="24">
        <v>4</v>
      </c>
      <c r="C1550" s="23"/>
      <c r="D1550" s="23"/>
      <c r="E1550" s="24"/>
      <c r="F1550" s="24"/>
      <c r="G1550" s="24"/>
      <c r="H1550" s="24"/>
      <c r="I1550" s="24"/>
      <c r="J1550" s="24" t="str">
        <f t="shared" si="47"/>
        <v/>
      </c>
      <c r="K1550" s="24" t="str">
        <f t="shared" si="48"/>
        <v/>
      </c>
    </row>
    <row r="1551" spans="1:11">
      <c r="A1551" s="35"/>
      <c r="B1551" s="24">
        <v>5</v>
      </c>
      <c r="C1551" s="23"/>
      <c r="D1551" s="23"/>
      <c r="E1551" s="24"/>
      <c r="F1551" s="24"/>
      <c r="G1551" s="24"/>
      <c r="H1551" s="24"/>
      <c r="I1551" s="24"/>
      <c r="J1551" s="24" t="str">
        <f t="shared" si="47"/>
        <v/>
      </c>
      <c r="K1551" s="24" t="str">
        <f t="shared" si="48"/>
        <v/>
      </c>
    </row>
    <row r="1552" spans="1:11">
      <c r="A1552" s="35"/>
      <c r="B1552" s="24">
        <v>6</v>
      </c>
      <c r="C1552" s="23"/>
      <c r="D1552" s="23"/>
      <c r="E1552" s="24"/>
      <c r="F1552" s="24"/>
      <c r="G1552" s="24"/>
      <c r="H1552" s="24"/>
      <c r="I1552" s="24"/>
      <c r="J1552" s="24" t="str">
        <f t="shared" si="47"/>
        <v/>
      </c>
      <c r="K1552" s="24" t="str">
        <f t="shared" si="48"/>
        <v/>
      </c>
    </row>
    <row r="1553" spans="1:11">
      <c r="A1553" s="35"/>
      <c r="B1553" s="24">
        <v>7</v>
      </c>
      <c r="C1553" s="23"/>
      <c r="D1553" s="23"/>
      <c r="E1553" s="24"/>
      <c r="F1553" s="24"/>
      <c r="G1553" s="24"/>
      <c r="H1553" s="24"/>
      <c r="I1553" s="24"/>
      <c r="J1553" s="24" t="str">
        <f t="shared" si="47"/>
        <v/>
      </c>
      <c r="K1553" s="24" t="str">
        <f t="shared" si="48"/>
        <v/>
      </c>
    </row>
    <row r="1554" spans="1:11">
      <c r="A1554" s="35"/>
      <c r="B1554" s="24">
        <v>8</v>
      </c>
      <c r="C1554" s="23"/>
      <c r="D1554" s="23"/>
      <c r="E1554" s="24"/>
      <c r="F1554" s="24"/>
      <c r="G1554" s="24"/>
      <c r="H1554" s="24"/>
      <c r="I1554" s="24"/>
      <c r="J1554" s="24" t="str">
        <f t="shared" si="47"/>
        <v/>
      </c>
      <c r="K1554" s="24" t="str">
        <f t="shared" si="48"/>
        <v/>
      </c>
    </row>
    <row r="1555" spans="1:11">
      <c r="A1555" s="35"/>
      <c r="B1555" s="24">
        <v>9</v>
      </c>
      <c r="C1555" s="23"/>
      <c r="D1555" s="23"/>
      <c r="E1555" s="24"/>
      <c r="F1555" s="24"/>
      <c r="G1555" s="24"/>
      <c r="H1555" s="24"/>
      <c r="I1555" s="24"/>
      <c r="J1555" s="24" t="str">
        <f t="shared" si="47"/>
        <v/>
      </c>
      <c r="K1555" s="24" t="str">
        <f t="shared" si="48"/>
        <v/>
      </c>
    </row>
    <row r="1556" spans="1:11">
      <c r="A1556" s="35"/>
      <c r="B1556" s="24">
        <v>10</v>
      </c>
      <c r="C1556" s="23"/>
      <c r="D1556" s="23"/>
      <c r="E1556" s="24"/>
      <c r="F1556" s="24"/>
      <c r="G1556" s="24"/>
      <c r="H1556" s="24"/>
      <c r="I1556" s="24"/>
      <c r="J1556" s="24" t="str">
        <f t="shared" si="47"/>
        <v/>
      </c>
      <c r="K1556" s="24" t="str">
        <f t="shared" si="48"/>
        <v/>
      </c>
    </row>
    <row r="1557" spans="1:11">
      <c r="A1557" s="35"/>
      <c r="B1557" s="24">
        <v>11</v>
      </c>
      <c r="C1557" s="23"/>
      <c r="D1557" s="23"/>
      <c r="E1557" s="24"/>
      <c r="F1557" s="24"/>
      <c r="G1557" s="24"/>
      <c r="H1557" s="24"/>
      <c r="I1557" s="24"/>
      <c r="J1557" s="24" t="str">
        <f t="shared" si="47"/>
        <v/>
      </c>
      <c r="K1557" s="24" t="str">
        <f t="shared" si="48"/>
        <v/>
      </c>
    </row>
    <row r="1558" spans="1:11">
      <c r="A1558" s="35"/>
      <c r="B1558" s="24">
        <v>12</v>
      </c>
      <c r="C1558" s="23"/>
      <c r="D1558" s="23"/>
      <c r="E1558" s="24"/>
      <c r="F1558" s="24"/>
      <c r="G1558" s="24"/>
      <c r="H1558" s="24"/>
      <c r="I1558" s="24"/>
      <c r="J1558" s="24" t="str">
        <f t="shared" si="47"/>
        <v/>
      </c>
      <c r="K1558" s="24" t="str">
        <f t="shared" si="48"/>
        <v/>
      </c>
    </row>
    <row r="1559" spans="1:11">
      <c r="A1559" s="35"/>
      <c r="B1559" s="24">
        <v>13</v>
      </c>
      <c r="C1559" s="23"/>
      <c r="D1559" s="23"/>
      <c r="E1559" s="24"/>
      <c r="F1559" s="24"/>
      <c r="G1559" s="24"/>
      <c r="H1559" s="24"/>
      <c r="I1559" s="24"/>
      <c r="J1559" s="24" t="str">
        <f t="shared" si="47"/>
        <v/>
      </c>
      <c r="K1559" s="24" t="str">
        <f t="shared" si="48"/>
        <v/>
      </c>
    </row>
    <row r="1560" spans="1:11">
      <c r="A1560" s="35"/>
      <c r="B1560" s="24">
        <v>14</v>
      </c>
      <c r="C1560" s="23"/>
      <c r="D1560" s="23"/>
      <c r="E1560" s="24"/>
      <c r="F1560" s="24"/>
      <c r="G1560" s="24"/>
      <c r="H1560" s="24"/>
      <c r="I1560" s="24"/>
      <c r="J1560" s="24" t="str">
        <f t="shared" si="47"/>
        <v/>
      </c>
      <c r="K1560" s="24" t="str">
        <f t="shared" si="48"/>
        <v/>
      </c>
    </row>
    <row r="1561" spans="1:11">
      <c r="A1561" s="35"/>
      <c r="B1561" s="24">
        <v>15</v>
      </c>
      <c r="C1561" s="23"/>
      <c r="D1561" s="23"/>
      <c r="E1561" s="24"/>
      <c r="F1561" s="24"/>
      <c r="G1561" s="24"/>
      <c r="H1561" s="24"/>
      <c r="I1561" s="24"/>
      <c r="J1561" s="24" t="str">
        <f t="shared" si="47"/>
        <v/>
      </c>
      <c r="K1561" s="24" t="str">
        <f t="shared" si="48"/>
        <v/>
      </c>
    </row>
    <row r="1562" spans="1:11">
      <c r="A1562" s="35"/>
      <c r="B1562" s="24">
        <v>16</v>
      </c>
      <c r="C1562" s="23"/>
      <c r="D1562" s="23"/>
      <c r="E1562" s="24"/>
      <c r="F1562" s="24"/>
      <c r="G1562" s="24"/>
      <c r="H1562" s="24"/>
      <c r="I1562" s="24"/>
      <c r="J1562" s="24" t="str">
        <f t="shared" si="47"/>
        <v/>
      </c>
      <c r="K1562" s="24" t="str">
        <f t="shared" si="48"/>
        <v/>
      </c>
    </row>
    <row r="1563" spans="1:11">
      <c r="A1563" s="35"/>
      <c r="B1563" s="24">
        <v>17</v>
      </c>
      <c r="C1563" s="23"/>
      <c r="D1563" s="23"/>
      <c r="E1563" s="24"/>
      <c r="F1563" s="24"/>
      <c r="G1563" s="24"/>
      <c r="H1563" s="24"/>
      <c r="I1563" s="24"/>
      <c r="J1563" s="24" t="str">
        <f t="shared" si="47"/>
        <v/>
      </c>
      <c r="K1563" s="24" t="str">
        <f t="shared" si="48"/>
        <v/>
      </c>
    </row>
    <row r="1564" spans="1:11">
      <c r="A1564" s="35"/>
      <c r="B1564" s="24">
        <v>18</v>
      </c>
      <c r="C1564" s="23"/>
      <c r="D1564" s="23"/>
      <c r="E1564" s="24"/>
      <c r="F1564" s="24"/>
      <c r="G1564" s="24"/>
      <c r="H1564" s="24"/>
      <c r="I1564" s="24"/>
      <c r="J1564" s="24" t="str">
        <f t="shared" si="47"/>
        <v/>
      </c>
      <c r="K1564" s="24" t="str">
        <f t="shared" si="48"/>
        <v/>
      </c>
    </row>
    <row r="1565" spans="1:11">
      <c r="A1565" s="35"/>
      <c r="B1565" s="24">
        <v>19</v>
      </c>
      <c r="C1565" s="23"/>
      <c r="D1565" s="23"/>
      <c r="E1565" s="24"/>
      <c r="F1565" s="24"/>
      <c r="G1565" s="24"/>
      <c r="H1565" s="24"/>
      <c r="I1565" s="24"/>
      <c r="J1565" s="24" t="str">
        <f t="shared" si="47"/>
        <v/>
      </c>
      <c r="K1565" s="24" t="str">
        <f t="shared" si="48"/>
        <v/>
      </c>
    </row>
    <row r="1566" spans="1:11">
      <c r="A1566" s="35"/>
      <c r="B1566" s="24">
        <v>20</v>
      </c>
      <c r="C1566" s="23"/>
      <c r="D1566" s="23"/>
      <c r="E1566" s="24"/>
      <c r="F1566" s="24"/>
      <c r="G1566" s="24"/>
      <c r="H1566" s="24"/>
      <c r="I1566" s="24"/>
      <c r="J1566" s="24" t="str">
        <f t="shared" si="47"/>
        <v/>
      </c>
      <c r="K1566" s="24" t="str">
        <f t="shared" si="48"/>
        <v/>
      </c>
    </row>
    <row r="1567" spans="1:11">
      <c r="A1567" s="35"/>
      <c r="B1567" s="24">
        <v>21</v>
      </c>
      <c r="C1567" s="23"/>
      <c r="D1567" s="23"/>
      <c r="E1567" s="24"/>
      <c r="F1567" s="24"/>
      <c r="G1567" s="24"/>
      <c r="H1567" s="24"/>
      <c r="I1567" s="24"/>
      <c r="J1567" s="24" t="str">
        <f t="shared" si="47"/>
        <v/>
      </c>
      <c r="K1567" s="24" t="str">
        <f t="shared" si="48"/>
        <v/>
      </c>
    </row>
    <row r="1568" spans="1:11">
      <c r="A1568" s="35"/>
      <c r="B1568" s="24">
        <v>22</v>
      </c>
      <c r="C1568" s="23"/>
      <c r="D1568" s="23"/>
      <c r="E1568" s="24"/>
      <c r="F1568" s="24"/>
      <c r="G1568" s="24"/>
      <c r="H1568" s="24"/>
      <c r="I1568" s="24"/>
      <c r="J1568" s="24" t="str">
        <f t="shared" si="47"/>
        <v/>
      </c>
      <c r="K1568" s="24" t="str">
        <f t="shared" si="48"/>
        <v/>
      </c>
    </row>
    <row r="1569" spans="1:11">
      <c r="A1569" s="35"/>
      <c r="B1569" s="24">
        <v>23</v>
      </c>
      <c r="C1569" s="23"/>
      <c r="D1569" s="23"/>
      <c r="E1569" s="24"/>
      <c r="F1569" s="24"/>
      <c r="G1569" s="24"/>
      <c r="H1569" s="24"/>
      <c r="I1569" s="24"/>
      <c r="J1569" s="24" t="str">
        <f t="shared" si="47"/>
        <v/>
      </c>
      <c r="K1569" s="24" t="str">
        <f t="shared" si="48"/>
        <v/>
      </c>
    </row>
    <row r="1570" spans="1:11">
      <c r="A1570" s="35"/>
      <c r="B1570" s="24">
        <v>24</v>
      </c>
      <c r="C1570" s="23"/>
      <c r="D1570" s="23"/>
      <c r="E1570" s="24"/>
      <c r="F1570" s="24"/>
      <c r="G1570" s="24"/>
      <c r="H1570" s="24"/>
      <c r="I1570" s="24"/>
      <c r="J1570" s="24" t="str">
        <f t="shared" si="47"/>
        <v/>
      </c>
      <c r="K1570" s="24" t="str">
        <f t="shared" si="48"/>
        <v/>
      </c>
    </row>
    <row r="1571" spans="1:11">
      <c r="A1571" s="35"/>
      <c r="B1571" s="24">
        <v>25</v>
      </c>
      <c r="C1571" s="23"/>
      <c r="D1571" s="23"/>
      <c r="E1571" s="24"/>
      <c r="F1571" s="24"/>
      <c r="G1571" s="24"/>
      <c r="H1571" s="24"/>
      <c r="I1571" s="24"/>
      <c r="J1571" s="24" t="str">
        <f t="shared" si="47"/>
        <v/>
      </c>
      <c r="K1571" s="24" t="str">
        <f t="shared" si="48"/>
        <v/>
      </c>
    </row>
    <row r="1572" spans="1:11">
      <c r="A1572" s="35"/>
      <c r="B1572" s="24">
        <v>26</v>
      </c>
      <c r="C1572" s="23"/>
      <c r="D1572" s="23"/>
      <c r="E1572" s="24"/>
      <c r="F1572" s="24"/>
      <c r="G1572" s="24"/>
      <c r="H1572" s="24"/>
      <c r="I1572" s="24"/>
      <c r="J1572" s="24" t="str">
        <f t="shared" si="47"/>
        <v/>
      </c>
      <c r="K1572" s="24" t="str">
        <f t="shared" si="48"/>
        <v/>
      </c>
    </row>
    <row r="1573" spans="1:11">
      <c r="A1573" s="35"/>
      <c r="B1573" s="24">
        <v>27</v>
      </c>
      <c r="C1573" s="23"/>
      <c r="D1573" s="23"/>
      <c r="E1573" s="24"/>
      <c r="F1573" s="24"/>
      <c r="G1573" s="24"/>
      <c r="H1573" s="24"/>
      <c r="I1573" s="24"/>
      <c r="J1573" s="24" t="str">
        <f t="shared" si="47"/>
        <v/>
      </c>
      <c r="K1573" s="24" t="str">
        <f t="shared" si="48"/>
        <v/>
      </c>
    </row>
    <row r="1574" spans="1:11">
      <c r="A1574" s="35"/>
      <c r="B1574" s="24">
        <v>28</v>
      </c>
      <c r="C1574" s="23"/>
      <c r="D1574" s="23"/>
      <c r="E1574" s="24"/>
      <c r="F1574" s="24"/>
      <c r="G1574" s="24"/>
      <c r="H1574" s="24"/>
      <c r="I1574" s="24"/>
      <c r="J1574" s="24" t="str">
        <f t="shared" si="47"/>
        <v/>
      </c>
      <c r="K1574" s="24" t="str">
        <f t="shared" si="48"/>
        <v/>
      </c>
    </row>
    <row r="1575" spans="1:11">
      <c r="A1575" s="35"/>
      <c r="B1575" s="24">
        <v>29</v>
      </c>
      <c r="C1575" s="23"/>
      <c r="D1575" s="23"/>
      <c r="E1575" s="24"/>
      <c r="F1575" s="24"/>
      <c r="G1575" s="24"/>
      <c r="H1575" s="24"/>
      <c r="I1575" s="24"/>
      <c r="J1575" s="24" t="str">
        <f t="shared" si="47"/>
        <v/>
      </c>
      <c r="K1575" s="24" t="str">
        <f t="shared" si="48"/>
        <v/>
      </c>
    </row>
    <row r="1576" spans="1:11">
      <c r="A1576" s="35"/>
      <c r="B1576" s="24">
        <v>30</v>
      </c>
      <c r="C1576" s="23"/>
      <c r="D1576" s="23"/>
      <c r="E1576" s="24"/>
      <c r="F1576" s="24"/>
      <c r="G1576" s="24"/>
      <c r="H1576" s="24"/>
      <c r="I1576" s="24"/>
      <c r="J1576" s="24" t="str">
        <f t="shared" si="47"/>
        <v/>
      </c>
      <c r="K1576" s="24" t="str">
        <f t="shared" si="48"/>
        <v/>
      </c>
    </row>
    <row r="1577" spans="1:11">
      <c r="A1577" s="35"/>
      <c r="B1577" s="24">
        <v>31</v>
      </c>
      <c r="C1577" s="23"/>
      <c r="D1577" s="23"/>
      <c r="E1577" s="24"/>
      <c r="F1577" s="24"/>
      <c r="G1577" s="24"/>
      <c r="H1577" s="24"/>
      <c r="I1577" s="24"/>
      <c r="J1577" s="24" t="str">
        <f t="shared" si="47"/>
        <v/>
      </c>
      <c r="K1577" s="24" t="str">
        <f t="shared" si="48"/>
        <v/>
      </c>
    </row>
    <row r="1578" spans="1:11">
      <c r="A1578" s="35"/>
      <c r="B1578" s="24">
        <v>32</v>
      </c>
      <c r="C1578" s="23"/>
      <c r="D1578" s="23"/>
      <c r="E1578" s="24"/>
      <c r="F1578" s="24"/>
      <c r="G1578" s="24"/>
      <c r="H1578" s="24"/>
      <c r="I1578" s="24"/>
      <c r="J1578" s="24" t="str">
        <f t="shared" si="47"/>
        <v/>
      </c>
      <c r="K1578" s="24" t="str">
        <f t="shared" si="48"/>
        <v/>
      </c>
    </row>
    <row r="1579" spans="1:11">
      <c r="A1579" s="35"/>
      <c r="B1579" s="24">
        <v>33</v>
      </c>
      <c r="C1579" s="23"/>
      <c r="D1579" s="23"/>
      <c r="E1579" s="24"/>
      <c r="F1579" s="24"/>
      <c r="G1579" s="24"/>
      <c r="H1579" s="24"/>
      <c r="I1579" s="24"/>
      <c r="J1579" s="24" t="str">
        <f t="shared" si="47"/>
        <v/>
      </c>
      <c r="K1579" s="24" t="str">
        <f t="shared" si="48"/>
        <v/>
      </c>
    </row>
    <row r="1580" spans="1:11">
      <c r="A1580" s="35"/>
      <c r="B1580" s="24">
        <v>34</v>
      </c>
      <c r="C1580" s="23"/>
      <c r="D1580" s="23"/>
      <c r="E1580" s="24"/>
      <c r="F1580" s="24"/>
      <c r="G1580" s="24"/>
      <c r="H1580" s="24"/>
      <c r="I1580" s="24"/>
      <c r="J1580" s="24" t="str">
        <f t="shared" si="47"/>
        <v/>
      </c>
      <c r="K1580" s="24" t="str">
        <f t="shared" si="48"/>
        <v/>
      </c>
    </row>
    <row r="1581" spans="1:11">
      <c r="A1581" s="35"/>
      <c r="B1581" s="24">
        <v>35</v>
      </c>
      <c r="C1581" s="23"/>
      <c r="D1581" s="23"/>
      <c r="E1581" s="24"/>
      <c r="F1581" s="24"/>
      <c r="G1581" s="24"/>
      <c r="H1581" s="24"/>
      <c r="I1581" s="24"/>
      <c r="J1581" s="24" t="str">
        <f t="shared" si="47"/>
        <v/>
      </c>
      <c r="K1581" s="24" t="str">
        <f t="shared" si="48"/>
        <v/>
      </c>
    </row>
    <row r="1582" spans="1:11">
      <c r="A1582" s="35"/>
      <c r="B1582" s="24">
        <v>36</v>
      </c>
      <c r="C1582" s="23"/>
      <c r="D1582" s="23"/>
      <c r="E1582" s="24"/>
      <c r="F1582" s="24"/>
      <c r="G1582" s="24"/>
      <c r="H1582" s="24"/>
      <c r="I1582" s="24"/>
      <c r="J1582" s="24" t="str">
        <f t="shared" si="47"/>
        <v/>
      </c>
      <c r="K1582" s="24" t="str">
        <f t="shared" si="48"/>
        <v/>
      </c>
    </row>
    <row r="1583" spans="1:11">
      <c r="A1583" s="35"/>
      <c r="B1583" s="24">
        <v>37</v>
      </c>
      <c r="C1583" s="23"/>
      <c r="D1583" s="23"/>
      <c r="E1583" s="24"/>
      <c r="F1583" s="24"/>
      <c r="G1583" s="24"/>
      <c r="H1583" s="24"/>
      <c r="I1583" s="24"/>
      <c r="J1583" s="24" t="str">
        <f t="shared" si="47"/>
        <v/>
      </c>
      <c r="K1583" s="24" t="str">
        <f t="shared" si="48"/>
        <v/>
      </c>
    </row>
    <row r="1584" spans="1:11">
      <c r="A1584" s="35"/>
      <c r="B1584" s="24">
        <v>38</v>
      </c>
      <c r="C1584" s="23"/>
      <c r="D1584" s="23"/>
      <c r="E1584" s="24"/>
      <c r="F1584" s="24"/>
      <c r="G1584" s="24"/>
      <c r="H1584" s="24"/>
      <c r="I1584" s="24"/>
      <c r="J1584" s="24" t="str">
        <f t="shared" si="47"/>
        <v/>
      </c>
      <c r="K1584" s="24" t="str">
        <f t="shared" si="48"/>
        <v/>
      </c>
    </row>
    <row r="1585" spans="1:11">
      <c r="A1585" s="35"/>
      <c r="B1585" s="24">
        <v>39</v>
      </c>
      <c r="C1585" s="23"/>
      <c r="D1585" s="23"/>
      <c r="E1585" s="24"/>
      <c r="F1585" s="24"/>
      <c r="G1585" s="24"/>
      <c r="H1585" s="24"/>
      <c r="I1585" s="24"/>
      <c r="J1585" s="24" t="str">
        <f t="shared" si="47"/>
        <v/>
      </c>
      <c r="K1585" s="24" t="str">
        <f t="shared" si="48"/>
        <v/>
      </c>
    </row>
    <row r="1586" spans="1:11">
      <c r="A1586" s="35"/>
      <c r="B1586" s="24">
        <v>40</v>
      </c>
      <c r="C1586" s="23"/>
      <c r="D1586" s="23"/>
      <c r="E1586" s="24"/>
      <c r="F1586" s="24"/>
      <c r="G1586" s="24"/>
      <c r="H1586" s="24"/>
      <c r="I1586" s="24"/>
      <c r="J1586" s="24" t="str">
        <f t="shared" si="47"/>
        <v/>
      </c>
      <c r="K1586" s="24" t="str">
        <f t="shared" si="48"/>
        <v/>
      </c>
    </row>
    <row r="1587" spans="1:11">
      <c r="A1587" s="35"/>
      <c r="B1587" s="24">
        <v>41</v>
      </c>
      <c r="C1587" s="23"/>
      <c r="D1587" s="23"/>
      <c r="E1587" s="24"/>
      <c r="F1587" s="24"/>
      <c r="G1587" s="24"/>
      <c r="H1587" s="24"/>
      <c r="I1587" s="24"/>
      <c r="J1587" s="24" t="str">
        <f t="shared" si="47"/>
        <v/>
      </c>
      <c r="K1587" s="24" t="str">
        <f t="shared" si="48"/>
        <v/>
      </c>
    </row>
    <row r="1588" spans="1:11">
      <c r="A1588" s="35"/>
      <c r="B1588" s="24">
        <v>42</v>
      </c>
      <c r="C1588" s="23"/>
      <c r="D1588" s="23"/>
      <c r="E1588" s="24"/>
      <c r="F1588" s="24"/>
      <c r="G1588" s="24"/>
      <c r="H1588" s="24"/>
      <c r="I1588" s="24"/>
      <c r="J1588" s="24" t="str">
        <f t="shared" si="47"/>
        <v/>
      </c>
      <c r="K1588" s="24" t="str">
        <f t="shared" si="48"/>
        <v/>
      </c>
    </row>
    <row r="1589" spans="1:11">
      <c r="A1589" s="35"/>
      <c r="B1589" s="24">
        <v>43</v>
      </c>
      <c r="C1589" s="23"/>
      <c r="D1589" s="23"/>
      <c r="E1589" s="24"/>
      <c r="F1589" s="24"/>
      <c r="G1589" s="24"/>
      <c r="H1589" s="24"/>
      <c r="I1589" s="24"/>
      <c r="J1589" s="24" t="str">
        <f t="shared" si="47"/>
        <v/>
      </c>
      <c r="K1589" s="24" t="str">
        <f t="shared" si="48"/>
        <v/>
      </c>
    </row>
    <row r="1590" spans="1:11">
      <c r="A1590" s="35"/>
      <c r="B1590" s="24">
        <v>44</v>
      </c>
      <c r="C1590" s="23"/>
      <c r="D1590" s="23"/>
      <c r="E1590" s="24"/>
      <c r="F1590" s="24"/>
      <c r="G1590" s="24"/>
      <c r="H1590" s="24"/>
      <c r="I1590" s="24"/>
      <c r="J1590" s="24" t="str">
        <f t="shared" si="47"/>
        <v/>
      </c>
      <c r="K1590" s="24" t="str">
        <f t="shared" si="48"/>
        <v/>
      </c>
    </row>
    <row r="1591" spans="1:11">
      <c r="A1591" s="35"/>
      <c r="B1591" s="24">
        <v>45</v>
      </c>
      <c r="C1591" s="23"/>
      <c r="D1591" s="23"/>
      <c r="E1591" s="24"/>
      <c r="F1591" s="24"/>
      <c r="G1591" s="24"/>
      <c r="H1591" s="24"/>
      <c r="I1591" s="24"/>
      <c r="J1591" s="24" t="str">
        <f t="shared" si="47"/>
        <v/>
      </c>
      <c r="K1591" s="24" t="str">
        <f t="shared" si="48"/>
        <v/>
      </c>
    </row>
    <row r="1592" spans="1:11">
      <c r="A1592" s="35"/>
      <c r="B1592" s="24">
        <v>46</v>
      </c>
      <c r="C1592" s="23"/>
      <c r="D1592" s="23"/>
      <c r="E1592" s="24"/>
      <c r="F1592" s="24"/>
      <c r="G1592" s="24"/>
      <c r="H1592" s="24"/>
      <c r="I1592" s="24"/>
      <c r="J1592" s="24" t="str">
        <f t="shared" si="47"/>
        <v/>
      </c>
      <c r="K1592" s="24" t="str">
        <f t="shared" si="48"/>
        <v/>
      </c>
    </row>
    <row r="1593" spans="1:11">
      <c r="A1593" s="35"/>
      <c r="B1593" s="24">
        <v>47</v>
      </c>
      <c r="C1593" s="23"/>
      <c r="D1593" s="23"/>
      <c r="E1593" s="24"/>
      <c r="F1593" s="24"/>
      <c r="G1593" s="24"/>
      <c r="H1593" s="24"/>
      <c r="I1593" s="24"/>
      <c r="J1593" s="24" t="str">
        <f t="shared" si="47"/>
        <v/>
      </c>
      <c r="K1593" s="24" t="str">
        <f t="shared" si="48"/>
        <v/>
      </c>
    </row>
    <row r="1594" spans="1:11">
      <c r="A1594" s="35"/>
      <c r="B1594" s="24">
        <v>48</v>
      </c>
      <c r="C1594" s="23"/>
      <c r="D1594" s="23"/>
      <c r="E1594" s="24"/>
      <c r="F1594" s="24"/>
      <c r="G1594" s="24"/>
      <c r="H1594" s="24"/>
      <c r="I1594" s="24"/>
      <c r="J1594" s="24" t="str">
        <f t="shared" si="47"/>
        <v/>
      </c>
      <c r="K1594" s="24" t="str">
        <f t="shared" si="48"/>
        <v/>
      </c>
    </row>
    <row r="1595" spans="1:11">
      <c r="A1595" s="35"/>
      <c r="B1595" s="24">
        <v>49</v>
      </c>
      <c r="C1595" s="23"/>
      <c r="D1595" s="23"/>
      <c r="E1595" s="24"/>
      <c r="F1595" s="24"/>
      <c r="G1595" s="24"/>
      <c r="H1595" s="24"/>
      <c r="I1595" s="24"/>
      <c r="J1595" s="24" t="str">
        <f t="shared" si="47"/>
        <v/>
      </c>
      <c r="K1595" s="24" t="str">
        <f t="shared" si="48"/>
        <v/>
      </c>
    </row>
    <row r="1596" spans="1:11">
      <c r="A1596" s="35"/>
      <c r="B1596" s="24">
        <v>50</v>
      </c>
      <c r="C1596" s="23"/>
      <c r="D1596" s="23"/>
      <c r="E1596" s="24"/>
      <c r="F1596" s="24"/>
      <c r="G1596" s="24"/>
      <c r="H1596" s="24"/>
      <c r="I1596" s="24"/>
      <c r="J1596" s="24" t="str">
        <f t="shared" si="47"/>
        <v/>
      </c>
      <c r="K1596" s="24" t="str">
        <f t="shared" si="48"/>
        <v/>
      </c>
    </row>
    <row r="1597" spans="1:11">
      <c r="A1597" s="35"/>
      <c r="B1597" s="24">
        <v>51</v>
      </c>
      <c r="C1597" s="23"/>
      <c r="D1597" s="23"/>
      <c r="E1597" s="24"/>
      <c r="F1597" s="24"/>
      <c r="G1597" s="24"/>
      <c r="H1597" s="24"/>
      <c r="I1597" s="24"/>
      <c r="J1597" s="24" t="str">
        <f t="shared" si="47"/>
        <v/>
      </c>
      <c r="K1597" s="24" t="str">
        <f t="shared" si="48"/>
        <v/>
      </c>
    </row>
    <row r="1598" spans="1:11">
      <c r="A1598" s="35"/>
      <c r="B1598" s="24">
        <v>52</v>
      </c>
      <c r="C1598" s="23"/>
      <c r="D1598" s="23"/>
      <c r="E1598" s="24"/>
      <c r="F1598" s="24"/>
      <c r="G1598" s="24"/>
      <c r="H1598" s="24"/>
      <c r="I1598" s="24"/>
      <c r="J1598" s="24" t="str">
        <f t="shared" si="47"/>
        <v/>
      </c>
      <c r="K1598" s="24" t="str">
        <f t="shared" si="48"/>
        <v/>
      </c>
    </row>
    <row r="1599" spans="1:11">
      <c r="A1599" s="35"/>
      <c r="B1599" s="24">
        <v>53</v>
      </c>
      <c r="C1599" s="23"/>
      <c r="D1599" s="23"/>
      <c r="E1599" s="24"/>
      <c r="F1599" s="24"/>
      <c r="G1599" s="24"/>
      <c r="H1599" s="24"/>
      <c r="I1599" s="24"/>
      <c r="J1599" s="24" t="str">
        <f t="shared" si="47"/>
        <v/>
      </c>
      <c r="K1599" s="24" t="str">
        <f t="shared" si="48"/>
        <v/>
      </c>
    </row>
    <row r="1600" spans="1:11">
      <c r="A1600" s="35"/>
      <c r="B1600" s="24">
        <v>54</v>
      </c>
      <c r="C1600" s="23"/>
      <c r="D1600" s="23"/>
      <c r="E1600" s="24"/>
      <c r="F1600" s="24"/>
      <c r="G1600" s="24"/>
      <c r="H1600" s="24"/>
      <c r="I1600" s="24"/>
      <c r="J1600" s="24" t="str">
        <f t="shared" si="47"/>
        <v/>
      </c>
      <c r="K1600" s="24" t="str">
        <f t="shared" si="48"/>
        <v/>
      </c>
    </row>
    <row r="1601" spans="1:11">
      <c r="A1601" s="35"/>
      <c r="B1601" s="24">
        <v>55</v>
      </c>
      <c r="C1601" s="23"/>
      <c r="D1601" s="23"/>
      <c r="E1601" s="24"/>
      <c r="F1601" s="24"/>
      <c r="G1601" s="24"/>
      <c r="H1601" s="24"/>
      <c r="I1601" s="24"/>
      <c r="J1601" s="24" t="str">
        <f t="shared" si="47"/>
        <v/>
      </c>
      <c r="K1601" s="24" t="str">
        <f t="shared" si="48"/>
        <v/>
      </c>
    </row>
    <row r="1602" spans="1:11">
      <c r="A1602" s="35"/>
      <c r="B1602" s="24">
        <v>56</v>
      </c>
      <c r="C1602" s="23"/>
      <c r="D1602" s="23"/>
      <c r="E1602" s="24"/>
      <c r="F1602" s="24"/>
      <c r="G1602" s="24"/>
      <c r="H1602" s="24"/>
      <c r="I1602" s="24"/>
      <c r="J1602" s="24" t="str">
        <f t="shared" si="47"/>
        <v/>
      </c>
      <c r="K1602" s="24" t="str">
        <f t="shared" si="48"/>
        <v/>
      </c>
    </row>
    <row r="1603" spans="1:11">
      <c r="A1603" s="35"/>
      <c r="B1603" s="24">
        <v>57</v>
      </c>
      <c r="C1603" s="23"/>
      <c r="D1603" s="23"/>
      <c r="E1603" s="24"/>
      <c r="F1603" s="24"/>
      <c r="G1603" s="24"/>
      <c r="H1603" s="24"/>
      <c r="I1603" s="24"/>
      <c r="J1603" s="24" t="str">
        <f t="shared" si="47"/>
        <v/>
      </c>
      <c r="K1603" s="24" t="str">
        <f t="shared" si="48"/>
        <v/>
      </c>
    </row>
    <row r="1604" spans="1:11">
      <c r="A1604" s="35"/>
      <c r="B1604" s="24">
        <v>58</v>
      </c>
      <c r="C1604" s="23"/>
      <c r="D1604" s="23"/>
      <c r="E1604" s="24"/>
      <c r="F1604" s="24"/>
      <c r="G1604" s="24"/>
      <c r="H1604" s="24"/>
      <c r="I1604" s="24"/>
      <c r="J1604" s="24" t="str">
        <f t="shared" si="47"/>
        <v/>
      </c>
      <c r="K1604" s="24" t="str">
        <f t="shared" si="48"/>
        <v/>
      </c>
    </row>
    <row r="1605" spans="1:11">
      <c r="A1605" s="35"/>
      <c r="B1605" s="24">
        <v>59</v>
      </c>
      <c r="C1605" s="23"/>
      <c r="D1605" s="23"/>
      <c r="E1605" s="24"/>
      <c r="F1605" s="24"/>
      <c r="G1605" s="24"/>
      <c r="H1605" s="24"/>
      <c r="I1605" s="24"/>
      <c r="J1605" s="24" t="str">
        <f t="shared" si="47"/>
        <v/>
      </c>
      <c r="K1605" s="24" t="str">
        <f t="shared" si="48"/>
        <v/>
      </c>
    </row>
    <row r="1606" spans="1:11">
      <c r="A1606" s="35"/>
      <c r="B1606" s="24">
        <v>60</v>
      </c>
      <c r="C1606" s="23"/>
      <c r="D1606" s="23"/>
      <c r="E1606" s="24"/>
      <c r="F1606" s="24"/>
      <c r="G1606" s="24"/>
      <c r="H1606" s="24"/>
      <c r="I1606" s="24"/>
      <c r="J1606" s="24" t="str">
        <f t="shared" si="47"/>
        <v/>
      </c>
      <c r="K1606" s="24" t="str">
        <f t="shared" si="48"/>
        <v/>
      </c>
    </row>
    <row r="1607" spans="1:11">
      <c r="A1607" s="35"/>
      <c r="B1607" s="34"/>
      <c r="C1607" s="34"/>
      <c r="D1607" s="34"/>
      <c r="E1607" s="34"/>
      <c r="F1607" s="34"/>
      <c r="G1607" s="34"/>
      <c r="H1607" s="34"/>
      <c r="I1607" s="33" t="s">
        <v>31</v>
      </c>
      <c r="J1607" s="33"/>
      <c r="K1607" s="24">
        <f>SUM(K1547:K1606)</f>
        <v>0</v>
      </c>
    </row>
    <row r="1611" spans="1:11">
      <c r="A1611" s="23">
        <v>25</v>
      </c>
      <c r="B1611" s="23" t="s">
        <v>0</v>
      </c>
      <c r="C1611" s="28" t="str">
        <f>IF('Navigation and Summary'!$B$33="", "", 'Navigation and Summary'!$B$33)</f>
        <v/>
      </c>
      <c r="D1611" s="28"/>
      <c r="E1611" s="23" t="s">
        <v>37</v>
      </c>
      <c r="F1611" s="24" t="str">
        <f>IF('Navigation and Summary'!$C$33="", "", 'Navigation and Summary'!$C$33)</f>
        <v/>
      </c>
      <c r="G1611" s="23" t="s">
        <v>34</v>
      </c>
      <c r="H1611" s="24" t="str">
        <f>IF(C1611="", "", 'Navigation and Summary'!$G$6)</f>
        <v/>
      </c>
    </row>
    <row r="1612" spans="1:11">
      <c r="A1612" s="35"/>
      <c r="B1612" s="35" t="s">
        <v>32</v>
      </c>
      <c r="C1612" s="35"/>
      <c r="D1612" s="35"/>
      <c r="E1612" s="35"/>
      <c r="F1612" s="35"/>
      <c r="G1612" s="35"/>
      <c r="H1612" s="35"/>
      <c r="I1612" s="23"/>
      <c r="J1612" s="23"/>
      <c r="K1612" s="23"/>
    </row>
    <row r="1613" spans="1:11" ht="28.5">
      <c r="A1613" s="35"/>
      <c r="B1613" s="25" t="s">
        <v>1</v>
      </c>
      <c r="C1613" s="25" t="s">
        <v>2</v>
      </c>
      <c r="D1613" s="25"/>
      <c r="E1613" s="25" t="s">
        <v>3</v>
      </c>
      <c r="F1613" s="25" t="s">
        <v>4</v>
      </c>
      <c r="G1613" s="25" t="s">
        <v>5</v>
      </c>
      <c r="H1613" s="25" t="s">
        <v>6</v>
      </c>
      <c r="I1613" s="25" t="s">
        <v>7</v>
      </c>
      <c r="J1613" s="25" t="s">
        <v>8</v>
      </c>
      <c r="K1613" s="25" t="s">
        <v>9</v>
      </c>
    </row>
    <row r="1614" spans="1:11">
      <c r="A1614" s="35"/>
      <c r="B1614" s="24">
        <v>1</v>
      </c>
      <c r="C1614" s="23"/>
      <c r="D1614" s="23"/>
      <c r="E1614" s="24"/>
      <c r="F1614" s="24"/>
      <c r="G1614" s="24"/>
      <c r="H1614" s="24"/>
      <c r="I1614" s="24"/>
      <c r="J1614" s="24" t="str">
        <f>IF(SUM(E1614:I1614)=0, "", SUM(E1614:I1614))</f>
        <v/>
      </c>
      <c r="K1614" s="24" t="str">
        <f xml:space="preserve"> IFERROR(IF(($F$1611-J1614)=0, 0, ($F$1611-J1614)),$F$1611)</f>
        <v/>
      </c>
    </row>
    <row r="1615" spans="1:11">
      <c r="A1615" s="35"/>
      <c r="B1615" s="24">
        <v>2</v>
      </c>
      <c r="C1615" s="23"/>
      <c r="D1615" s="23"/>
      <c r="E1615" s="24"/>
      <c r="F1615" s="24"/>
      <c r="G1615" s="24"/>
      <c r="H1615" s="24"/>
      <c r="I1615" s="24"/>
      <c r="J1615" s="24" t="str">
        <f t="shared" ref="J1615:J1673" si="49">IF(SUM(E1615:I1615)=0, "", SUM(E1615:I1615))</f>
        <v/>
      </c>
      <c r="K1615" s="24" t="str">
        <f t="shared" ref="K1615:K1673" si="50" xml:space="preserve"> IFERROR(IF(($F$1611-J1615)=0, 0, ($F$1611-J1615)),$F$1611)</f>
        <v/>
      </c>
    </row>
    <row r="1616" spans="1:11">
      <c r="A1616" s="35"/>
      <c r="B1616" s="24">
        <v>3</v>
      </c>
      <c r="C1616" s="23"/>
      <c r="D1616" s="23"/>
      <c r="E1616" s="24"/>
      <c r="F1616" s="24"/>
      <c r="G1616" s="24"/>
      <c r="H1616" s="24"/>
      <c r="I1616" s="24"/>
      <c r="J1616" s="24" t="str">
        <f t="shared" si="49"/>
        <v/>
      </c>
      <c r="K1616" s="24" t="str">
        <f t="shared" si="50"/>
        <v/>
      </c>
    </row>
    <row r="1617" spans="1:11">
      <c r="A1617" s="35"/>
      <c r="B1617" s="24">
        <v>4</v>
      </c>
      <c r="C1617" s="23"/>
      <c r="D1617" s="23"/>
      <c r="E1617" s="24"/>
      <c r="F1617" s="24"/>
      <c r="G1617" s="24"/>
      <c r="H1617" s="24"/>
      <c r="I1617" s="24"/>
      <c r="J1617" s="24" t="str">
        <f t="shared" si="49"/>
        <v/>
      </c>
      <c r="K1617" s="24" t="str">
        <f t="shared" si="50"/>
        <v/>
      </c>
    </row>
    <row r="1618" spans="1:11">
      <c r="A1618" s="35"/>
      <c r="B1618" s="24">
        <v>5</v>
      </c>
      <c r="C1618" s="23"/>
      <c r="D1618" s="23"/>
      <c r="E1618" s="24"/>
      <c r="F1618" s="24"/>
      <c r="G1618" s="24"/>
      <c r="H1618" s="24"/>
      <c r="I1618" s="24"/>
      <c r="J1618" s="24" t="str">
        <f t="shared" si="49"/>
        <v/>
      </c>
      <c r="K1618" s="24" t="str">
        <f t="shared" si="50"/>
        <v/>
      </c>
    </row>
    <row r="1619" spans="1:11">
      <c r="A1619" s="35"/>
      <c r="B1619" s="24">
        <v>6</v>
      </c>
      <c r="C1619" s="23"/>
      <c r="D1619" s="23"/>
      <c r="E1619" s="24"/>
      <c r="F1619" s="24"/>
      <c r="G1619" s="24"/>
      <c r="H1619" s="24"/>
      <c r="I1619" s="24"/>
      <c r="J1619" s="24" t="str">
        <f t="shared" si="49"/>
        <v/>
      </c>
      <c r="K1619" s="24" t="str">
        <f t="shared" si="50"/>
        <v/>
      </c>
    </row>
    <row r="1620" spans="1:11">
      <c r="A1620" s="35"/>
      <c r="B1620" s="24">
        <v>7</v>
      </c>
      <c r="C1620" s="23"/>
      <c r="D1620" s="23"/>
      <c r="E1620" s="24"/>
      <c r="F1620" s="24"/>
      <c r="G1620" s="24"/>
      <c r="H1620" s="24"/>
      <c r="I1620" s="24"/>
      <c r="J1620" s="24" t="str">
        <f t="shared" si="49"/>
        <v/>
      </c>
      <c r="K1620" s="24" t="str">
        <f t="shared" si="50"/>
        <v/>
      </c>
    </row>
    <row r="1621" spans="1:11">
      <c r="A1621" s="35"/>
      <c r="B1621" s="24">
        <v>8</v>
      </c>
      <c r="C1621" s="23"/>
      <c r="D1621" s="23"/>
      <c r="E1621" s="24"/>
      <c r="F1621" s="24"/>
      <c r="G1621" s="24"/>
      <c r="H1621" s="24"/>
      <c r="I1621" s="24"/>
      <c r="J1621" s="24" t="str">
        <f t="shared" si="49"/>
        <v/>
      </c>
      <c r="K1621" s="24" t="str">
        <f t="shared" si="50"/>
        <v/>
      </c>
    </row>
    <row r="1622" spans="1:11">
      <c r="A1622" s="35"/>
      <c r="B1622" s="24">
        <v>9</v>
      </c>
      <c r="C1622" s="23"/>
      <c r="D1622" s="23"/>
      <c r="E1622" s="24"/>
      <c r="F1622" s="24"/>
      <c r="G1622" s="24"/>
      <c r="H1622" s="24"/>
      <c r="I1622" s="24"/>
      <c r="J1622" s="24" t="str">
        <f t="shared" si="49"/>
        <v/>
      </c>
      <c r="K1622" s="24" t="str">
        <f t="shared" si="50"/>
        <v/>
      </c>
    </row>
    <row r="1623" spans="1:11">
      <c r="A1623" s="35"/>
      <c r="B1623" s="24">
        <v>10</v>
      </c>
      <c r="C1623" s="23"/>
      <c r="D1623" s="23"/>
      <c r="E1623" s="24"/>
      <c r="F1623" s="24"/>
      <c r="G1623" s="24"/>
      <c r="H1623" s="24"/>
      <c r="I1623" s="24"/>
      <c r="J1623" s="24" t="str">
        <f t="shared" si="49"/>
        <v/>
      </c>
      <c r="K1623" s="24" t="str">
        <f t="shared" si="50"/>
        <v/>
      </c>
    </row>
    <row r="1624" spans="1:11">
      <c r="A1624" s="35"/>
      <c r="B1624" s="24">
        <v>11</v>
      </c>
      <c r="C1624" s="23"/>
      <c r="D1624" s="23"/>
      <c r="E1624" s="24"/>
      <c r="F1624" s="24"/>
      <c r="G1624" s="24"/>
      <c r="H1624" s="24"/>
      <c r="I1624" s="24"/>
      <c r="J1624" s="24" t="str">
        <f t="shared" si="49"/>
        <v/>
      </c>
      <c r="K1624" s="24" t="str">
        <f t="shared" si="50"/>
        <v/>
      </c>
    </row>
    <row r="1625" spans="1:11">
      <c r="A1625" s="35"/>
      <c r="B1625" s="24">
        <v>12</v>
      </c>
      <c r="C1625" s="23"/>
      <c r="D1625" s="23"/>
      <c r="E1625" s="24"/>
      <c r="F1625" s="24"/>
      <c r="G1625" s="24"/>
      <c r="H1625" s="24"/>
      <c r="I1625" s="24"/>
      <c r="J1625" s="24" t="str">
        <f t="shared" si="49"/>
        <v/>
      </c>
      <c r="K1625" s="24" t="str">
        <f t="shared" si="50"/>
        <v/>
      </c>
    </row>
    <row r="1626" spans="1:11">
      <c r="A1626" s="35"/>
      <c r="B1626" s="24">
        <v>13</v>
      </c>
      <c r="C1626" s="23"/>
      <c r="D1626" s="23"/>
      <c r="E1626" s="24"/>
      <c r="F1626" s="24"/>
      <c r="G1626" s="24"/>
      <c r="H1626" s="24"/>
      <c r="I1626" s="24"/>
      <c r="J1626" s="24" t="str">
        <f t="shared" si="49"/>
        <v/>
      </c>
      <c r="K1626" s="24" t="str">
        <f t="shared" si="50"/>
        <v/>
      </c>
    </row>
    <row r="1627" spans="1:11">
      <c r="A1627" s="35"/>
      <c r="B1627" s="24">
        <v>14</v>
      </c>
      <c r="C1627" s="23"/>
      <c r="D1627" s="23"/>
      <c r="E1627" s="24"/>
      <c r="F1627" s="24"/>
      <c r="G1627" s="24"/>
      <c r="H1627" s="24"/>
      <c r="I1627" s="24"/>
      <c r="J1627" s="24" t="str">
        <f t="shared" si="49"/>
        <v/>
      </c>
      <c r="K1627" s="24" t="str">
        <f t="shared" si="50"/>
        <v/>
      </c>
    </row>
    <row r="1628" spans="1:11">
      <c r="A1628" s="35"/>
      <c r="B1628" s="24">
        <v>15</v>
      </c>
      <c r="C1628" s="23"/>
      <c r="D1628" s="23"/>
      <c r="E1628" s="24"/>
      <c r="F1628" s="24"/>
      <c r="G1628" s="24"/>
      <c r="H1628" s="24"/>
      <c r="I1628" s="24"/>
      <c r="J1628" s="24" t="str">
        <f t="shared" si="49"/>
        <v/>
      </c>
      <c r="K1628" s="24" t="str">
        <f t="shared" si="50"/>
        <v/>
      </c>
    </row>
    <row r="1629" spans="1:11">
      <c r="A1629" s="35"/>
      <c r="B1629" s="24">
        <v>16</v>
      </c>
      <c r="C1629" s="23"/>
      <c r="D1629" s="23"/>
      <c r="E1629" s="24"/>
      <c r="F1629" s="24"/>
      <c r="G1629" s="24"/>
      <c r="H1629" s="24"/>
      <c r="I1629" s="24"/>
      <c r="J1629" s="24" t="str">
        <f t="shared" si="49"/>
        <v/>
      </c>
      <c r="K1629" s="24" t="str">
        <f t="shared" si="50"/>
        <v/>
      </c>
    </row>
    <row r="1630" spans="1:11">
      <c r="A1630" s="35"/>
      <c r="B1630" s="24">
        <v>17</v>
      </c>
      <c r="C1630" s="23"/>
      <c r="D1630" s="23"/>
      <c r="E1630" s="24"/>
      <c r="F1630" s="24"/>
      <c r="G1630" s="24"/>
      <c r="H1630" s="24"/>
      <c r="I1630" s="24"/>
      <c r="J1630" s="24" t="str">
        <f t="shared" si="49"/>
        <v/>
      </c>
      <c r="K1630" s="24" t="str">
        <f t="shared" si="50"/>
        <v/>
      </c>
    </row>
    <row r="1631" spans="1:11">
      <c r="A1631" s="35"/>
      <c r="B1631" s="24">
        <v>18</v>
      </c>
      <c r="C1631" s="23"/>
      <c r="D1631" s="23"/>
      <c r="E1631" s="24"/>
      <c r="F1631" s="24"/>
      <c r="G1631" s="24"/>
      <c r="H1631" s="24"/>
      <c r="I1631" s="24"/>
      <c r="J1631" s="24" t="str">
        <f t="shared" si="49"/>
        <v/>
      </c>
      <c r="K1631" s="24" t="str">
        <f t="shared" si="50"/>
        <v/>
      </c>
    </row>
    <row r="1632" spans="1:11">
      <c r="A1632" s="35"/>
      <c r="B1632" s="24">
        <v>19</v>
      </c>
      <c r="C1632" s="23"/>
      <c r="D1632" s="23"/>
      <c r="E1632" s="24"/>
      <c r="F1632" s="24"/>
      <c r="G1632" s="24"/>
      <c r="H1632" s="24"/>
      <c r="I1632" s="24"/>
      <c r="J1632" s="24" t="str">
        <f t="shared" si="49"/>
        <v/>
      </c>
      <c r="K1632" s="24" t="str">
        <f t="shared" si="50"/>
        <v/>
      </c>
    </row>
    <row r="1633" spans="1:11">
      <c r="A1633" s="35"/>
      <c r="B1633" s="24">
        <v>20</v>
      </c>
      <c r="C1633" s="23"/>
      <c r="D1633" s="23"/>
      <c r="E1633" s="24"/>
      <c r="F1633" s="24"/>
      <c r="G1633" s="24"/>
      <c r="H1633" s="24"/>
      <c r="I1633" s="24"/>
      <c r="J1633" s="24" t="str">
        <f t="shared" si="49"/>
        <v/>
      </c>
      <c r="K1633" s="24" t="str">
        <f t="shared" si="50"/>
        <v/>
      </c>
    </row>
    <row r="1634" spans="1:11">
      <c r="A1634" s="35"/>
      <c r="B1634" s="24">
        <v>21</v>
      </c>
      <c r="C1634" s="23"/>
      <c r="D1634" s="23"/>
      <c r="E1634" s="24"/>
      <c r="F1634" s="24"/>
      <c r="G1634" s="24"/>
      <c r="H1634" s="24"/>
      <c r="I1634" s="24"/>
      <c r="J1634" s="24" t="str">
        <f t="shared" si="49"/>
        <v/>
      </c>
      <c r="K1634" s="24" t="str">
        <f t="shared" si="50"/>
        <v/>
      </c>
    </row>
    <row r="1635" spans="1:11">
      <c r="A1635" s="35"/>
      <c r="B1635" s="24">
        <v>22</v>
      </c>
      <c r="C1635" s="23"/>
      <c r="D1635" s="23"/>
      <c r="E1635" s="24"/>
      <c r="F1635" s="24"/>
      <c r="G1635" s="24"/>
      <c r="H1635" s="24"/>
      <c r="I1635" s="24"/>
      <c r="J1635" s="24" t="str">
        <f t="shared" si="49"/>
        <v/>
      </c>
      <c r="K1635" s="24" t="str">
        <f t="shared" si="50"/>
        <v/>
      </c>
    </row>
    <row r="1636" spans="1:11">
      <c r="A1636" s="35"/>
      <c r="B1636" s="24">
        <v>23</v>
      </c>
      <c r="C1636" s="23"/>
      <c r="D1636" s="23"/>
      <c r="E1636" s="24"/>
      <c r="F1636" s="24"/>
      <c r="G1636" s="24"/>
      <c r="H1636" s="24"/>
      <c r="I1636" s="24"/>
      <c r="J1636" s="24" t="str">
        <f t="shared" si="49"/>
        <v/>
      </c>
      <c r="K1636" s="24" t="str">
        <f t="shared" si="50"/>
        <v/>
      </c>
    </row>
    <row r="1637" spans="1:11">
      <c r="A1637" s="35"/>
      <c r="B1637" s="24">
        <v>24</v>
      </c>
      <c r="C1637" s="23"/>
      <c r="D1637" s="23"/>
      <c r="E1637" s="24"/>
      <c r="F1637" s="24"/>
      <c r="G1637" s="24"/>
      <c r="H1637" s="24"/>
      <c r="I1637" s="24"/>
      <c r="J1637" s="24" t="str">
        <f t="shared" si="49"/>
        <v/>
      </c>
      <c r="K1637" s="24" t="str">
        <f t="shared" si="50"/>
        <v/>
      </c>
    </row>
    <row r="1638" spans="1:11">
      <c r="A1638" s="35"/>
      <c r="B1638" s="24">
        <v>25</v>
      </c>
      <c r="C1638" s="23"/>
      <c r="D1638" s="23"/>
      <c r="E1638" s="24"/>
      <c r="F1638" s="24"/>
      <c r="G1638" s="24"/>
      <c r="H1638" s="24"/>
      <c r="I1638" s="24"/>
      <c r="J1638" s="24" t="str">
        <f t="shared" si="49"/>
        <v/>
      </c>
      <c r="K1638" s="24" t="str">
        <f t="shared" si="50"/>
        <v/>
      </c>
    </row>
    <row r="1639" spans="1:11">
      <c r="A1639" s="35"/>
      <c r="B1639" s="24">
        <v>26</v>
      </c>
      <c r="C1639" s="23"/>
      <c r="D1639" s="23"/>
      <c r="E1639" s="24"/>
      <c r="F1639" s="24"/>
      <c r="G1639" s="24"/>
      <c r="H1639" s="24"/>
      <c r="I1639" s="24"/>
      <c r="J1639" s="24" t="str">
        <f t="shared" si="49"/>
        <v/>
      </c>
      <c r="K1639" s="24" t="str">
        <f t="shared" si="50"/>
        <v/>
      </c>
    </row>
    <row r="1640" spans="1:11">
      <c r="A1640" s="35"/>
      <c r="B1640" s="24">
        <v>27</v>
      </c>
      <c r="C1640" s="23"/>
      <c r="D1640" s="23"/>
      <c r="E1640" s="24"/>
      <c r="F1640" s="24"/>
      <c r="G1640" s="24"/>
      <c r="H1640" s="24"/>
      <c r="I1640" s="24"/>
      <c r="J1640" s="24" t="str">
        <f t="shared" si="49"/>
        <v/>
      </c>
      <c r="K1640" s="24" t="str">
        <f t="shared" si="50"/>
        <v/>
      </c>
    </row>
    <row r="1641" spans="1:11">
      <c r="A1641" s="35"/>
      <c r="B1641" s="24">
        <v>28</v>
      </c>
      <c r="C1641" s="23"/>
      <c r="D1641" s="23"/>
      <c r="E1641" s="24"/>
      <c r="F1641" s="24"/>
      <c r="G1641" s="24"/>
      <c r="H1641" s="24"/>
      <c r="I1641" s="24"/>
      <c r="J1641" s="24" t="str">
        <f t="shared" si="49"/>
        <v/>
      </c>
      <c r="K1641" s="24" t="str">
        <f t="shared" si="50"/>
        <v/>
      </c>
    </row>
    <row r="1642" spans="1:11">
      <c r="A1642" s="35"/>
      <c r="B1642" s="24">
        <v>29</v>
      </c>
      <c r="C1642" s="23"/>
      <c r="D1642" s="23"/>
      <c r="E1642" s="24"/>
      <c r="F1642" s="24"/>
      <c r="G1642" s="24"/>
      <c r="H1642" s="24"/>
      <c r="I1642" s="24"/>
      <c r="J1642" s="24" t="str">
        <f t="shared" si="49"/>
        <v/>
      </c>
      <c r="K1642" s="24" t="str">
        <f t="shared" si="50"/>
        <v/>
      </c>
    </row>
    <row r="1643" spans="1:11">
      <c r="A1643" s="35"/>
      <c r="B1643" s="24">
        <v>30</v>
      </c>
      <c r="C1643" s="23"/>
      <c r="D1643" s="23"/>
      <c r="E1643" s="24"/>
      <c r="F1643" s="24"/>
      <c r="G1643" s="24"/>
      <c r="H1643" s="24"/>
      <c r="I1643" s="24"/>
      <c r="J1643" s="24" t="str">
        <f t="shared" si="49"/>
        <v/>
      </c>
      <c r="K1643" s="24" t="str">
        <f t="shared" si="50"/>
        <v/>
      </c>
    </row>
    <row r="1644" spans="1:11">
      <c r="A1644" s="35"/>
      <c r="B1644" s="24">
        <v>31</v>
      </c>
      <c r="C1644" s="23"/>
      <c r="D1644" s="23"/>
      <c r="E1644" s="24"/>
      <c r="F1644" s="24"/>
      <c r="G1644" s="24"/>
      <c r="H1644" s="24"/>
      <c r="I1644" s="24"/>
      <c r="J1644" s="24" t="str">
        <f t="shared" si="49"/>
        <v/>
      </c>
      <c r="K1644" s="24" t="str">
        <f t="shared" si="50"/>
        <v/>
      </c>
    </row>
    <row r="1645" spans="1:11">
      <c r="A1645" s="35"/>
      <c r="B1645" s="24">
        <v>32</v>
      </c>
      <c r="C1645" s="23"/>
      <c r="D1645" s="23"/>
      <c r="E1645" s="24"/>
      <c r="F1645" s="24"/>
      <c r="G1645" s="24"/>
      <c r="H1645" s="24"/>
      <c r="I1645" s="24"/>
      <c r="J1645" s="24" t="str">
        <f t="shared" si="49"/>
        <v/>
      </c>
      <c r="K1645" s="24" t="str">
        <f t="shared" si="50"/>
        <v/>
      </c>
    </row>
    <row r="1646" spans="1:11">
      <c r="A1646" s="35"/>
      <c r="B1646" s="24">
        <v>33</v>
      </c>
      <c r="C1646" s="23"/>
      <c r="D1646" s="23"/>
      <c r="E1646" s="24"/>
      <c r="F1646" s="24"/>
      <c r="G1646" s="24"/>
      <c r="H1646" s="24"/>
      <c r="I1646" s="24"/>
      <c r="J1646" s="24" t="str">
        <f t="shared" si="49"/>
        <v/>
      </c>
      <c r="K1646" s="24" t="str">
        <f t="shared" si="50"/>
        <v/>
      </c>
    </row>
    <row r="1647" spans="1:11">
      <c r="A1647" s="35"/>
      <c r="B1647" s="24">
        <v>34</v>
      </c>
      <c r="C1647" s="23"/>
      <c r="D1647" s="23"/>
      <c r="E1647" s="24"/>
      <c r="F1647" s="24"/>
      <c r="G1647" s="24"/>
      <c r="H1647" s="24"/>
      <c r="I1647" s="24"/>
      <c r="J1647" s="24" t="str">
        <f t="shared" si="49"/>
        <v/>
      </c>
      <c r="K1647" s="24" t="str">
        <f t="shared" si="50"/>
        <v/>
      </c>
    </row>
    <row r="1648" spans="1:11">
      <c r="A1648" s="35"/>
      <c r="B1648" s="24">
        <v>35</v>
      </c>
      <c r="C1648" s="23"/>
      <c r="D1648" s="23"/>
      <c r="E1648" s="24"/>
      <c r="F1648" s="24"/>
      <c r="G1648" s="24"/>
      <c r="H1648" s="24"/>
      <c r="I1648" s="24"/>
      <c r="J1648" s="24" t="str">
        <f t="shared" si="49"/>
        <v/>
      </c>
      <c r="K1648" s="24" t="str">
        <f t="shared" si="50"/>
        <v/>
      </c>
    </row>
    <row r="1649" spans="1:11">
      <c r="A1649" s="35"/>
      <c r="B1649" s="24">
        <v>36</v>
      </c>
      <c r="C1649" s="23"/>
      <c r="D1649" s="23"/>
      <c r="E1649" s="24"/>
      <c r="F1649" s="24"/>
      <c r="G1649" s="24"/>
      <c r="H1649" s="24"/>
      <c r="I1649" s="24"/>
      <c r="J1649" s="24" t="str">
        <f t="shared" si="49"/>
        <v/>
      </c>
      <c r="K1649" s="24" t="str">
        <f t="shared" si="50"/>
        <v/>
      </c>
    </row>
    <row r="1650" spans="1:11">
      <c r="A1650" s="35"/>
      <c r="B1650" s="24">
        <v>37</v>
      </c>
      <c r="C1650" s="23"/>
      <c r="D1650" s="23"/>
      <c r="E1650" s="24"/>
      <c r="F1650" s="24"/>
      <c r="G1650" s="24"/>
      <c r="H1650" s="24"/>
      <c r="I1650" s="24"/>
      <c r="J1650" s="24" t="str">
        <f t="shared" si="49"/>
        <v/>
      </c>
      <c r="K1650" s="24" t="str">
        <f t="shared" si="50"/>
        <v/>
      </c>
    </row>
    <row r="1651" spans="1:11">
      <c r="A1651" s="35"/>
      <c r="B1651" s="24">
        <v>38</v>
      </c>
      <c r="C1651" s="23"/>
      <c r="D1651" s="23"/>
      <c r="E1651" s="24"/>
      <c r="F1651" s="24"/>
      <c r="G1651" s="24"/>
      <c r="H1651" s="24"/>
      <c r="I1651" s="24"/>
      <c r="J1651" s="24" t="str">
        <f t="shared" si="49"/>
        <v/>
      </c>
      <c r="K1651" s="24" t="str">
        <f t="shared" si="50"/>
        <v/>
      </c>
    </row>
    <row r="1652" spans="1:11">
      <c r="A1652" s="35"/>
      <c r="B1652" s="24">
        <v>39</v>
      </c>
      <c r="C1652" s="23"/>
      <c r="D1652" s="23"/>
      <c r="E1652" s="24"/>
      <c r="F1652" s="24"/>
      <c r="G1652" s="24"/>
      <c r="H1652" s="24"/>
      <c r="I1652" s="24"/>
      <c r="J1652" s="24" t="str">
        <f t="shared" si="49"/>
        <v/>
      </c>
      <c r="K1652" s="24" t="str">
        <f t="shared" si="50"/>
        <v/>
      </c>
    </row>
    <row r="1653" spans="1:11">
      <c r="A1653" s="35"/>
      <c r="B1653" s="24">
        <v>40</v>
      </c>
      <c r="C1653" s="23"/>
      <c r="D1653" s="23"/>
      <c r="E1653" s="24"/>
      <c r="F1653" s="24"/>
      <c r="G1653" s="24"/>
      <c r="H1653" s="24"/>
      <c r="I1653" s="24"/>
      <c r="J1653" s="24" t="str">
        <f t="shared" si="49"/>
        <v/>
      </c>
      <c r="K1653" s="24" t="str">
        <f t="shared" si="50"/>
        <v/>
      </c>
    </row>
    <row r="1654" spans="1:11">
      <c r="A1654" s="35"/>
      <c r="B1654" s="24">
        <v>41</v>
      </c>
      <c r="C1654" s="23"/>
      <c r="D1654" s="23"/>
      <c r="E1654" s="24"/>
      <c r="F1654" s="24"/>
      <c r="G1654" s="24"/>
      <c r="H1654" s="24"/>
      <c r="I1654" s="24"/>
      <c r="J1654" s="24" t="str">
        <f t="shared" si="49"/>
        <v/>
      </c>
      <c r="K1654" s="24" t="str">
        <f t="shared" si="50"/>
        <v/>
      </c>
    </row>
    <row r="1655" spans="1:11">
      <c r="A1655" s="35"/>
      <c r="B1655" s="24">
        <v>42</v>
      </c>
      <c r="C1655" s="23"/>
      <c r="D1655" s="23"/>
      <c r="E1655" s="24"/>
      <c r="F1655" s="24"/>
      <c r="G1655" s="24"/>
      <c r="H1655" s="24"/>
      <c r="I1655" s="24"/>
      <c r="J1655" s="24" t="str">
        <f t="shared" si="49"/>
        <v/>
      </c>
      <c r="K1655" s="24" t="str">
        <f t="shared" si="50"/>
        <v/>
      </c>
    </row>
    <row r="1656" spans="1:11">
      <c r="A1656" s="35"/>
      <c r="B1656" s="24">
        <v>43</v>
      </c>
      <c r="C1656" s="23"/>
      <c r="D1656" s="23"/>
      <c r="E1656" s="24"/>
      <c r="F1656" s="24"/>
      <c r="G1656" s="24"/>
      <c r="H1656" s="24"/>
      <c r="I1656" s="24"/>
      <c r="J1656" s="24" t="str">
        <f t="shared" si="49"/>
        <v/>
      </c>
      <c r="K1656" s="24" t="str">
        <f t="shared" si="50"/>
        <v/>
      </c>
    </row>
    <row r="1657" spans="1:11">
      <c r="A1657" s="35"/>
      <c r="B1657" s="24">
        <v>44</v>
      </c>
      <c r="C1657" s="23"/>
      <c r="D1657" s="23"/>
      <c r="E1657" s="24"/>
      <c r="F1657" s="24"/>
      <c r="G1657" s="24"/>
      <c r="H1657" s="24"/>
      <c r="I1657" s="24"/>
      <c r="J1657" s="24" t="str">
        <f t="shared" si="49"/>
        <v/>
      </c>
      <c r="K1657" s="24" t="str">
        <f t="shared" si="50"/>
        <v/>
      </c>
    </row>
    <row r="1658" spans="1:11">
      <c r="A1658" s="35"/>
      <c r="B1658" s="24">
        <v>45</v>
      </c>
      <c r="C1658" s="23"/>
      <c r="D1658" s="23"/>
      <c r="E1658" s="24"/>
      <c r="F1658" s="24"/>
      <c r="G1658" s="24"/>
      <c r="H1658" s="24"/>
      <c r="I1658" s="24"/>
      <c r="J1658" s="24" t="str">
        <f t="shared" si="49"/>
        <v/>
      </c>
      <c r="K1658" s="24" t="str">
        <f t="shared" si="50"/>
        <v/>
      </c>
    </row>
    <row r="1659" spans="1:11">
      <c r="A1659" s="35"/>
      <c r="B1659" s="24">
        <v>46</v>
      </c>
      <c r="C1659" s="23"/>
      <c r="D1659" s="23"/>
      <c r="E1659" s="24"/>
      <c r="F1659" s="24"/>
      <c r="G1659" s="24"/>
      <c r="H1659" s="24"/>
      <c r="I1659" s="24"/>
      <c r="J1659" s="24" t="str">
        <f t="shared" si="49"/>
        <v/>
      </c>
      <c r="K1659" s="24" t="str">
        <f t="shared" si="50"/>
        <v/>
      </c>
    </row>
    <row r="1660" spans="1:11">
      <c r="A1660" s="35"/>
      <c r="B1660" s="24">
        <v>47</v>
      </c>
      <c r="C1660" s="23"/>
      <c r="D1660" s="23"/>
      <c r="E1660" s="24"/>
      <c r="F1660" s="24"/>
      <c r="G1660" s="24"/>
      <c r="H1660" s="24"/>
      <c r="I1660" s="24"/>
      <c r="J1660" s="24" t="str">
        <f t="shared" si="49"/>
        <v/>
      </c>
      <c r="K1660" s="24" t="str">
        <f t="shared" si="50"/>
        <v/>
      </c>
    </row>
    <row r="1661" spans="1:11">
      <c r="A1661" s="35"/>
      <c r="B1661" s="24">
        <v>48</v>
      </c>
      <c r="C1661" s="23"/>
      <c r="D1661" s="23"/>
      <c r="E1661" s="24"/>
      <c r="F1661" s="24"/>
      <c r="G1661" s="24"/>
      <c r="H1661" s="24"/>
      <c r="I1661" s="24"/>
      <c r="J1661" s="24" t="str">
        <f t="shared" si="49"/>
        <v/>
      </c>
      <c r="K1661" s="24" t="str">
        <f t="shared" si="50"/>
        <v/>
      </c>
    </row>
    <row r="1662" spans="1:11">
      <c r="A1662" s="35"/>
      <c r="B1662" s="24">
        <v>49</v>
      </c>
      <c r="C1662" s="23"/>
      <c r="D1662" s="23"/>
      <c r="E1662" s="24"/>
      <c r="F1662" s="24"/>
      <c r="G1662" s="24"/>
      <c r="H1662" s="24"/>
      <c r="I1662" s="24"/>
      <c r="J1662" s="24" t="str">
        <f t="shared" si="49"/>
        <v/>
      </c>
      <c r="K1662" s="24" t="str">
        <f t="shared" si="50"/>
        <v/>
      </c>
    </row>
    <row r="1663" spans="1:11">
      <c r="A1663" s="35"/>
      <c r="B1663" s="24">
        <v>50</v>
      </c>
      <c r="C1663" s="23"/>
      <c r="D1663" s="23"/>
      <c r="E1663" s="24"/>
      <c r="F1663" s="24"/>
      <c r="G1663" s="24"/>
      <c r="H1663" s="24"/>
      <c r="I1663" s="24"/>
      <c r="J1663" s="24" t="str">
        <f t="shared" si="49"/>
        <v/>
      </c>
      <c r="K1663" s="24" t="str">
        <f t="shared" si="50"/>
        <v/>
      </c>
    </row>
    <row r="1664" spans="1:11">
      <c r="A1664" s="35"/>
      <c r="B1664" s="24">
        <v>51</v>
      </c>
      <c r="C1664" s="23"/>
      <c r="D1664" s="23"/>
      <c r="E1664" s="24"/>
      <c r="F1664" s="24"/>
      <c r="G1664" s="24"/>
      <c r="H1664" s="24"/>
      <c r="I1664" s="24"/>
      <c r="J1664" s="24" t="str">
        <f t="shared" si="49"/>
        <v/>
      </c>
      <c r="K1664" s="24" t="str">
        <f t="shared" si="50"/>
        <v/>
      </c>
    </row>
    <row r="1665" spans="1:11">
      <c r="A1665" s="35"/>
      <c r="B1665" s="24">
        <v>52</v>
      </c>
      <c r="C1665" s="23"/>
      <c r="D1665" s="23"/>
      <c r="E1665" s="24"/>
      <c r="F1665" s="24"/>
      <c r="G1665" s="24"/>
      <c r="H1665" s="24"/>
      <c r="I1665" s="24"/>
      <c r="J1665" s="24" t="str">
        <f t="shared" si="49"/>
        <v/>
      </c>
      <c r="K1665" s="24" t="str">
        <f t="shared" si="50"/>
        <v/>
      </c>
    </row>
    <row r="1666" spans="1:11">
      <c r="A1666" s="35"/>
      <c r="B1666" s="24">
        <v>53</v>
      </c>
      <c r="C1666" s="23"/>
      <c r="D1666" s="23"/>
      <c r="E1666" s="24"/>
      <c r="F1666" s="24"/>
      <c r="G1666" s="24"/>
      <c r="H1666" s="24"/>
      <c r="I1666" s="24"/>
      <c r="J1666" s="24" t="str">
        <f t="shared" si="49"/>
        <v/>
      </c>
      <c r="K1666" s="24" t="str">
        <f t="shared" si="50"/>
        <v/>
      </c>
    </row>
    <row r="1667" spans="1:11">
      <c r="A1667" s="35"/>
      <c r="B1667" s="24">
        <v>54</v>
      </c>
      <c r="C1667" s="23"/>
      <c r="D1667" s="23"/>
      <c r="E1667" s="24"/>
      <c r="F1667" s="24"/>
      <c r="G1667" s="24"/>
      <c r="H1667" s="24"/>
      <c r="I1667" s="24"/>
      <c r="J1667" s="24" t="str">
        <f t="shared" si="49"/>
        <v/>
      </c>
      <c r="K1667" s="24" t="str">
        <f t="shared" si="50"/>
        <v/>
      </c>
    </row>
    <row r="1668" spans="1:11">
      <c r="A1668" s="35"/>
      <c r="B1668" s="24">
        <v>55</v>
      </c>
      <c r="C1668" s="23"/>
      <c r="D1668" s="23"/>
      <c r="E1668" s="24"/>
      <c r="F1668" s="24"/>
      <c r="G1668" s="24"/>
      <c r="H1668" s="24"/>
      <c r="I1668" s="24"/>
      <c r="J1668" s="24" t="str">
        <f t="shared" si="49"/>
        <v/>
      </c>
      <c r="K1668" s="24" t="str">
        <f t="shared" si="50"/>
        <v/>
      </c>
    </row>
    <row r="1669" spans="1:11">
      <c r="A1669" s="35"/>
      <c r="B1669" s="24">
        <v>56</v>
      </c>
      <c r="C1669" s="23"/>
      <c r="D1669" s="23"/>
      <c r="E1669" s="24"/>
      <c r="F1669" s="24"/>
      <c r="G1669" s="24"/>
      <c r="H1669" s="24"/>
      <c r="I1669" s="24"/>
      <c r="J1669" s="24" t="str">
        <f t="shared" si="49"/>
        <v/>
      </c>
      <c r="K1669" s="24" t="str">
        <f t="shared" si="50"/>
        <v/>
      </c>
    </row>
    <row r="1670" spans="1:11">
      <c r="A1670" s="35"/>
      <c r="B1670" s="24">
        <v>57</v>
      </c>
      <c r="C1670" s="23"/>
      <c r="D1670" s="23"/>
      <c r="E1670" s="24"/>
      <c r="F1670" s="24"/>
      <c r="G1670" s="24"/>
      <c r="H1670" s="24"/>
      <c r="I1670" s="24"/>
      <c r="J1670" s="24" t="str">
        <f t="shared" si="49"/>
        <v/>
      </c>
      <c r="K1670" s="24" t="str">
        <f t="shared" si="50"/>
        <v/>
      </c>
    </row>
    <row r="1671" spans="1:11">
      <c r="A1671" s="35"/>
      <c r="B1671" s="24">
        <v>58</v>
      </c>
      <c r="C1671" s="23"/>
      <c r="D1671" s="23"/>
      <c r="E1671" s="24"/>
      <c r="F1671" s="24"/>
      <c r="G1671" s="24"/>
      <c r="H1671" s="24"/>
      <c r="I1671" s="24"/>
      <c r="J1671" s="24" t="str">
        <f t="shared" si="49"/>
        <v/>
      </c>
      <c r="K1671" s="24" t="str">
        <f t="shared" si="50"/>
        <v/>
      </c>
    </row>
    <row r="1672" spans="1:11">
      <c r="A1672" s="35"/>
      <c r="B1672" s="24">
        <v>59</v>
      </c>
      <c r="C1672" s="23"/>
      <c r="D1672" s="23"/>
      <c r="E1672" s="24"/>
      <c r="F1672" s="24"/>
      <c r="G1672" s="24"/>
      <c r="H1672" s="24"/>
      <c r="I1672" s="24"/>
      <c r="J1672" s="24" t="str">
        <f t="shared" si="49"/>
        <v/>
      </c>
      <c r="K1672" s="24" t="str">
        <f t="shared" si="50"/>
        <v/>
      </c>
    </row>
    <row r="1673" spans="1:11">
      <c r="A1673" s="35"/>
      <c r="B1673" s="24">
        <v>60</v>
      </c>
      <c r="C1673" s="23"/>
      <c r="D1673" s="23"/>
      <c r="E1673" s="24"/>
      <c r="F1673" s="24"/>
      <c r="G1673" s="24"/>
      <c r="H1673" s="24"/>
      <c r="I1673" s="24"/>
      <c r="J1673" s="24" t="str">
        <f t="shared" si="49"/>
        <v/>
      </c>
      <c r="K1673" s="24" t="str">
        <f t="shared" si="50"/>
        <v/>
      </c>
    </row>
    <row r="1674" spans="1:11">
      <c r="A1674" s="35"/>
      <c r="B1674" s="34"/>
      <c r="C1674" s="34"/>
      <c r="D1674" s="34"/>
      <c r="E1674" s="34"/>
      <c r="F1674" s="34"/>
      <c r="G1674" s="34"/>
      <c r="H1674" s="34"/>
      <c r="I1674" s="33" t="s">
        <v>31</v>
      </c>
      <c r="J1674" s="33"/>
      <c r="K1674" s="24">
        <f>SUM(K1614:K1673)</f>
        <v>0</v>
      </c>
    </row>
    <row r="1675" spans="1:11">
      <c r="I1675" s="27"/>
      <c r="J1675" s="27"/>
      <c r="K1675" s="24"/>
    </row>
    <row r="1676" spans="1:11">
      <c r="I1676" s="27"/>
      <c r="J1676" s="27"/>
      <c r="K1676" s="24"/>
    </row>
    <row r="1678" spans="1:11">
      <c r="A1678" s="23">
        <v>26</v>
      </c>
      <c r="B1678" s="23" t="s">
        <v>0</v>
      </c>
      <c r="C1678" s="28" t="str">
        <f>IF('Navigation and Summary'!$B$34="", "", 'Navigation and Summary'!$B$34)</f>
        <v/>
      </c>
      <c r="D1678" s="28"/>
      <c r="E1678" s="23" t="s">
        <v>37</v>
      </c>
      <c r="F1678" s="24" t="str">
        <f>IF('Navigation and Summary'!$C$34="", "", 'Navigation and Summary'!$C$34)</f>
        <v/>
      </c>
      <c r="G1678" s="23" t="s">
        <v>34</v>
      </c>
      <c r="H1678" s="24" t="str">
        <f>IF(C1678="", "", 'Navigation and Summary'!$G$6)</f>
        <v/>
      </c>
    </row>
    <row r="1679" spans="1:11">
      <c r="A1679" s="35"/>
      <c r="B1679" s="35" t="s">
        <v>32</v>
      </c>
      <c r="C1679" s="35"/>
      <c r="D1679" s="35"/>
      <c r="E1679" s="35"/>
      <c r="F1679" s="35"/>
      <c r="G1679" s="35"/>
      <c r="H1679" s="35"/>
      <c r="I1679" s="23"/>
      <c r="J1679" s="23"/>
      <c r="K1679" s="23"/>
    </row>
    <row r="1680" spans="1:11" ht="28.5">
      <c r="A1680" s="35"/>
      <c r="B1680" s="25" t="s">
        <v>1</v>
      </c>
      <c r="C1680" s="25" t="s">
        <v>2</v>
      </c>
      <c r="D1680" s="25"/>
      <c r="E1680" s="25" t="s">
        <v>3</v>
      </c>
      <c r="F1680" s="25" t="s">
        <v>4</v>
      </c>
      <c r="G1680" s="25" t="s">
        <v>5</v>
      </c>
      <c r="H1680" s="25" t="s">
        <v>6</v>
      </c>
      <c r="I1680" s="25" t="s">
        <v>7</v>
      </c>
      <c r="J1680" s="25" t="s">
        <v>8</v>
      </c>
      <c r="K1680" s="25" t="s">
        <v>9</v>
      </c>
    </row>
    <row r="1681" spans="1:11">
      <c r="A1681" s="35"/>
      <c r="B1681" s="24">
        <v>1</v>
      </c>
      <c r="C1681" s="23"/>
      <c r="D1681" s="23"/>
      <c r="E1681" s="24"/>
      <c r="F1681" s="24"/>
      <c r="G1681" s="24"/>
      <c r="H1681" s="24"/>
      <c r="I1681" s="24"/>
      <c r="J1681" s="24" t="str">
        <f>IF(SUM(E1681:I1681)=0, "", SUM(E1681:I1681))</f>
        <v/>
      </c>
      <c r="K1681" s="24" t="str">
        <f xml:space="preserve"> IFERROR(IF(($F$1678-J1681)=0, 0, ($F$1678-J1681)),$F$1678)</f>
        <v/>
      </c>
    </row>
    <row r="1682" spans="1:11">
      <c r="A1682" s="35"/>
      <c r="B1682" s="24">
        <v>2</v>
      </c>
      <c r="C1682" s="23"/>
      <c r="D1682" s="23"/>
      <c r="E1682" s="24"/>
      <c r="F1682" s="24"/>
      <c r="G1682" s="24"/>
      <c r="H1682" s="24"/>
      <c r="I1682" s="24"/>
      <c r="J1682" s="24" t="str">
        <f t="shared" ref="J1682:J1740" si="51">IF(SUM(E1682:I1682)=0, "", SUM(E1682:I1682))</f>
        <v/>
      </c>
      <c r="K1682" s="24" t="str">
        <f t="shared" ref="K1682:K1740" si="52" xml:space="preserve"> IFERROR(IF(($F$1678-J1682)=0, 0, ($F$1678-J1682)),$F$1678)</f>
        <v/>
      </c>
    </row>
    <row r="1683" spans="1:11">
      <c r="A1683" s="35"/>
      <c r="B1683" s="24">
        <v>3</v>
      </c>
      <c r="C1683" s="23"/>
      <c r="D1683" s="23"/>
      <c r="E1683" s="24"/>
      <c r="F1683" s="24"/>
      <c r="G1683" s="24"/>
      <c r="H1683" s="24"/>
      <c r="I1683" s="24"/>
      <c r="J1683" s="24" t="str">
        <f t="shared" si="51"/>
        <v/>
      </c>
      <c r="K1683" s="24" t="str">
        <f t="shared" si="52"/>
        <v/>
      </c>
    </row>
    <row r="1684" spans="1:11">
      <c r="A1684" s="35"/>
      <c r="B1684" s="24">
        <v>4</v>
      </c>
      <c r="C1684" s="23"/>
      <c r="D1684" s="23"/>
      <c r="E1684" s="24"/>
      <c r="F1684" s="24"/>
      <c r="G1684" s="24"/>
      <c r="H1684" s="24"/>
      <c r="I1684" s="24"/>
      <c r="J1684" s="24" t="str">
        <f t="shared" si="51"/>
        <v/>
      </c>
      <c r="K1684" s="24" t="str">
        <f t="shared" si="52"/>
        <v/>
      </c>
    </row>
    <row r="1685" spans="1:11">
      <c r="A1685" s="35"/>
      <c r="B1685" s="24">
        <v>5</v>
      </c>
      <c r="C1685" s="23"/>
      <c r="D1685" s="23"/>
      <c r="E1685" s="24"/>
      <c r="F1685" s="24"/>
      <c r="G1685" s="24"/>
      <c r="H1685" s="24"/>
      <c r="I1685" s="24"/>
      <c r="J1685" s="24" t="str">
        <f t="shared" si="51"/>
        <v/>
      </c>
      <c r="K1685" s="24" t="str">
        <f t="shared" si="52"/>
        <v/>
      </c>
    </row>
    <row r="1686" spans="1:11">
      <c r="A1686" s="35"/>
      <c r="B1686" s="24">
        <v>6</v>
      </c>
      <c r="C1686" s="23"/>
      <c r="D1686" s="23"/>
      <c r="E1686" s="24"/>
      <c r="F1686" s="24"/>
      <c r="G1686" s="24"/>
      <c r="H1686" s="24"/>
      <c r="I1686" s="24"/>
      <c r="J1686" s="24" t="str">
        <f t="shared" si="51"/>
        <v/>
      </c>
      <c r="K1686" s="24" t="str">
        <f t="shared" si="52"/>
        <v/>
      </c>
    </row>
    <row r="1687" spans="1:11">
      <c r="A1687" s="35"/>
      <c r="B1687" s="24">
        <v>7</v>
      </c>
      <c r="C1687" s="23"/>
      <c r="D1687" s="23"/>
      <c r="E1687" s="24"/>
      <c r="F1687" s="24"/>
      <c r="G1687" s="24"/>
      <c r="H1687" s="24"/>
      <c r="I1687" s="24"/>
      <c r="J1687" s="24" t="str">
        <f t="shared" si="51"/>
        <v/>
      </c>
      <c r="K1687" s="24" t="str">
        <f t="shared" si="52"/>
        <v/>
      </c>
    </row>
    <row r="1688" spans="1:11">
      <c r="A1688" s="35"/>
      <c r="B1688" s="24">
        <v>8</v>
      </c>
      <c r="C1688" s="23"/>
      <c r="D1688" s="23"/>
      <c r="E1688" s="24"/>
      <c r="F1688" s="24"/>
      <c r="G1688" s="24"/>
      <c r="H1688" s="24"/>
      <c r="I1688" s="24"/>
      <c r="J1688" s="24" t="str">
        <f t="shared" si="51"/>
        <v/>
      </c>
      <c r="K1688" s="24" t="str">
        <f t="shared" si="52"/>
        <v/>
      </c>
    </row>
    <row r="1689" spans="1:11">
      <c r="A1689" s="35"/>
      <c r="B1689" s="24">
        <v>9</v>
      </c>
      <c r="C1689" s="23"/>
      <c r="D1689" s="23"/>
      <c r="E1689" s="24"/>
      <c r="F1689" s="24"/>
      <c r="G1689" s="24"/>
      <c r="H1689" s="24"/>
      <c r="I1689" s="24"/>
      <c r="J1689" s="24" t="str">
        <f t="shared" si="51"/>
        <v/>
      </c>
      <c r="K1689" s="24" t="str">
        <f t="shared" si="52"/>
        <v/>
      </c>
    </row>
    <row r="1690" spans="1:11">
      <c r="A1690" s="35"/>
      <c r="B1690" s="24">
        <v>10</v>
      </c>
      <c r="C1690" s="23"/>
      <c r="D1690" s="23"/>
      <c r="E1690" s="24"/>
      <c r="F1690" s="24"/>
      <c r="G1690" s="24"/>
      <c r="H1690" s="24"/>
      <c r="I1690" s="24"/>
      <c r="J1690" s="24" t="str">
        <f t="shared" si="51"/>
        <v/>
      </c>
      <c r="K1690" s="24" t="str">
        <f t="shared" si="52"/>
        <v/>
      </c>
    </row>
    <row r="1691" spans="1:11">
      <c r="A1691" s="35"/>
      <c r="B1691" s="24">
        <v>11</v>
      </c>
      <c r="C1691" s="23"/>
      <c r="D1691" s="23"/>
      <c r="E1691" s="24"/>
      <c r="F1691" s="24"/>
      <c r="G1691" s="24"/>
      <c r="H1691" s="24"/>
      <c r="I1691" s="24"/>
      <c r="J1691" s="24" t="str">
        <f t="shared" si="51"/>
        <v/>
      </c>
      <c r="K1691" s="24" t="str">
        <f t="shared" si="52"/>
        <v/>
      </c>
    </row>
    <row r="1692" spans="1:11">
      <c r="A1692" s="35"/>
      <c r="B1692" s="24">
        <v>12</v>
      </c>
      <c r="C1692" s="23"/>
      <c r="D1692" s="23"/>
      <c r="E1692" s="24"/>
      <c r="F1692" s="24"/>
      <c r="G1692" s="24"/>
      <c r="H1692" s="24"/>
      <c r="I1692" s="24"/>
      <c r="J1692" s="24" t="str">
        <f t="shared" si="51"/>
        <v/>
      </c>
      <c r="K1692" s="24" t="str">
        <f t="shared" si="52"/>
        <v/>
      </c>
    </row>
    <row r="1693" spans="1:11">
      <c r="A1693" s="35"/>
      <c r="B1693" s="24">
        <v>13</v>
      </c>
      <c r="C1693" s="23"/>
      <c r="D1693" s="23"/>
      <c r="E1693" s="24"/>
      <c r="F1693" s="24"/>
      <c r="G1693" s="24"/>
      <c r="H1693" s="24"/>
      <c r="I1693" s="24"/>
      <c r="J1693" s="24" t="str">
        <f t="shared" si="51"/>
        <v/>
      </c>
      <c r="K1693" s="24" t="str">
        <f t="shared" si="52"/>
        <v/>
      </c>
    </row>
    <row r="1694" spans="1:11">
      <c r="A1694" s="35"/>
      <c r="B1694" s="24">
        <v>14</v>
      </c>
      <c r="C1694" s="23"/>
      <c r="D1694" s="23"/>
      <c r="E1694" s="24"/>
      <c r="F1694" s="24"/>
      <c r="G1694" s="24"/>
      <c r="H1694" s="24"/>
      <c r="I1694" s="24"/>
      <c r="J1694" s="24" t="str">
        <f t="shared" si="51"/>
        <v/>
      </c>
      <c r="K1694" s="24" t="str">
        <f t="shared" si="52"/>
        <v/>
      </c>
    </row>
    <row r="1695" spans="1:11">
      <c r="A1695" s="35"/>
      <c r="B1695" s="24">
        <v>15</v>
      </c>
      <c r="C1695" s="23"/>
      <c r="D1695" s="23"/>
      <c r="E1695" s="24"/>
      <c r="F1695" s="24"/>
      <c r="G1695" s="24"/>
      <c r="H1695" s="24"/>
      <c r="I1695" s="24"/>
      <c r="J1695" s="24" t="str">
        <f t="shared" si="51"/>
        <v/>
      </c>
      <c r="K1695" s="24" t="str">
        <f t="shared" si="52"/>
        <v/>
      </c>
    </row>
    <row r="1696" spans="1:11">
      <c r="A1696" s="35"/>
      <c r="B1696" s="24">
        <v>16</v>
      </c>
      <c r="C1696" s="23"/>
      <c r="D1696" s="23"/>
      <c r="E1696" s="24"/>
      <c r="F1696" s="24"/>
      <c r="G1696" s="24"/>
      <c r="H1696" s="24"/>
      <c r="I1696" s="24"/>
      <c r="J1696" s="24" t="str">
        <f t="shared" si="51"/>
        <v/>
      </c>
      <c r="K1696" s="24" t="str">
        <f t="shared" si="52"/>
        <v/>
      </c>
    </row>
    <row r="1697" spans="1:11">
      <c r="A1697" s="35"/>
      <c r="B1697" s="24">
        <v>17</v>
      </c>
      <c r="C1697" s="23"/>
      <c r="D1697" s="23"/>
      <c r="E1697" s="24"/>
      <c r="F1697" s="24"/>
      <c r="G1697" s="24"/>
      <c r="H1697" s="24"/>
      <c r="I1697" s="24"/>
      <c r="J1697" s="24" t="str">
        <f t="shared" si="51"/>
        <v/>
      </c>
      <c r="K1697" s="24" t="str">
        <f t="shared" si="52"/>
        <v/>
      </c>
    </row>
    <row r="1698" spans="1:11">
      <c r="A1698" s="35"/>
      <c r="B1698" s="24">
        <v>18</v>
      </c>
      <c r="C1698" s="23"/>
      <c r="D1698" s="23"/>
      <c r="E1698" s="24"/>
      <c r="F1698" s="24"/>
      <c r="G1698" s="24"/>
      <c r="H1698" s="24"/>
      <c r="I1698" s="24"/>
      <c r="J1698" s="24" t="str">
        <f t="shared" si="51"/>
        <v/>
      </c>
      <c r="K1698" s="24" t="str">
        <f t="shared" si="52"/>
        <v/>
      </c>
    </row>
    <row r="1699" spans="1:11">
      <c r="A1699" s="35"/>
      <c r="B1699" s="24">
        <v>19</v>
      </c>
      <c r="C1699" s="23"/>
      <c r="D1699" s="23"/>
      <c r="E1699" s="24"/>
      <c r="F1699" s="24"/>
      <c r="G1699" s="24"/>
      <c r="H1699" s="24"/>
      <c r="I1699" s="24"/>
      <c r="J1699" s="24" t="str">
        <f t="shared" si="51"/>
        <v/>
      </c>
      <c r="K1699" s="24" t="str">
        <f t="shared" si="52"/>
        <v/>
      </c>
    </row>
    <row r="1700" spans="1:11">
      <c r="A1700" s="35"/>
      <c r="B1700" s="24">
        <v>20</v>
      </c>
      <c r="C1700" s="23"/>
      <c r="D1700" s="23"/>
      <c r="E1700" s="24"/>
      <c r="F1700" s="24"/>
      <c r="G1700" s="24"/>
      <c r="H1700" s="24"/>
      <c r="I1700" s="24"/>
      <c r="J1700" s="24" t="str">
        <f t="shared" si="51"/>
        <v/>
      </c>
      <c r="K1700" s="24" t="str">
        <f t="shared" si="52"/>
        <v/>
      </c>
    </row>
    <row r="1701" spans="1:11">
      <c r="A1701" s="35"/>
      <c r="B1701" s="24">
        <v>21</v>
      </c>
      <c r="C1701" s="23"/>
      <c r="D1701" s="23"/>
      <c r="E1701" s="24"/>
      <c r="F1701" s="24"/>
      <c r="G1701" s="24"/>
      <c r="H1701" s="24"/>
      <c r="I1701" s="24"/>
      <c r="J1701" s="24" t="str">
        <f t="shared" si="51"/>
        <v/>
      </c>
      <c r="K1701" s="24" t="str">
        <f t="shared" si="52"/>
        <v/>
      </c>
    </row>
    <row r="1702" spans="1:11">
      <c r="A1702" s="35"/>
      <c r="B1702" s="24">
        <v>22</v>
      </c>
      <c r="C1702" s="23"/>
      <c r="D1702" s="23"/>
      <c r="E1702" s="24"/>
      <c r="F1702" s="24"/>
      <c r="G1702" s="24"/>
      <c r="H1702" s="24"/>
      <c r="I1702" s="24"/>
      <c r="J1702" s="24" t="str">
        <f t="shared" si="51"/>
        <v/>
      </c>
      <c r="K1702" s="24" t="str">
        <f t="shared" si="52"/>
        <v/>
      </c>
    </row>
    <row r="1703" spans="1:11">
      <c r="A1703" s="35"/>
      <c r="B1703" s="24">
        <v>23</v>
      </c>
      <c r="C1703" s="23"/>
      <c r="D1703" s="23"/>
      <c r="E1703" s="24"/>
      <c r="F1703" s="24"/>
      <c r="G1703" s="24"/>
      <c r="H1703" s="24"/>
      <c r="I1703" s="24"/>
      <c r="J1703" s="24" t="str">
        <f t="shared" si="51"/>
        <v/>
      </c>
      <c r="K1703" s="24" t="str">
        <f t="shared" si="52"/>
        <v/>
      </c>
    </row>
    <row r="1704" spans="1:11">
      <c r="A1704" s="35"/>
      <c r="B1704" s="24">
        <v>24</v>
      </c>
      <c r="C1704" s="23"/>
      <c r="D1704" s="23"/>
      <c r="E1704" s="24"/>
      <c r="F1704" s="24"/>
      <c r="G1704" s="24"/>
      <c r="H1704" s="24"/>
      <c r="I1704" s="24"/>
      <c r="J1704" s="24" t="str">
        <f t="shared" si="51"/>
        <v/>
      </c>
      <c r="K1704" s="24" t="str">
        <f t="shared" si="52"/>
        <v/>
      </c>
    </row>
    <row r="1705" spans="1:11">
      <c r="A1705" s="35"/>
      <c r="B1705" s="24">
        <v>25</v>
      </c>
      <c r="C1705" s="23"/>
      <c r="D1705" s="23"/>
      <c r="E1705" s="24"/>
      <c r="F1705" s="24"/>
      <c r="G1705" s="24"/>
      <c r="H1705" s="24"/>
      <c r="I1705" s="24"/>
      <c r="J1705" s="24" t="str">
        <f t="shared" si="51"/>
        <v/>
      </c>
      <c r="K1705" s="24" t="str">
        <f t="shared" si="52"/>
        <v/>
      </c>
    </row>
    <row r="1706" spans="1:11">
      <c r="A1706" s="35"/>
      <c r="B1706" s="24">
        <v>26</v>
      </c>
      <c r="C1706" s="23"/>
      <c r="D1706" s="23"/>
      <c r="E1706" s="24"/>
      <c r="F1706" s="24"/>
      <c r="G1706" s="24"/>
      <c r="H1706" s="24"/>
      <c r="I1706" s="24"/>
      <c r="J1706" s="24" t="str">
        <f t="shared" si="51"/>
        <v/>
      </c>
      <c r="K1706" s="24" t="str">
        <f t="shared" si="52"/>
        <v/>
      </c>
    </row>
    <row r="1707" spans="1:11">
      <c r="A1707" s="35"/>
      <c r="B1707" s="24">
        <v>27</v>
      </c>
      <c r="C1707" s="23"/>
      <c r="D1707" s="23"/>
      <c r="E1707" s="24"/>
      <c r="F1707" s="24"/>
      <c r="G1707" s="24"/>
      <c r="H1707" s="24"/>
      <c r="I1707" s="24"/>
      <c r="J1707" s="24" t="str">
        <f t="shared" si="51"/>
        <v/>
      </c>
      <c r="K1707" s="24" t="str">
        <f t="shared" si="52"/>
        <v/>
      </c>
    </row>
    <row r="1708" spans="1:11">
      <c r="A1708" s="35"/>
      <c r="B1708" s="24">
        <v>28</v>
      </c>
      <c r="C1708" s="23"/>
      <c r="D1708" s="23"/>
      <c r="E1708" s="24"/>
      <c r="F1708" s="24"/>
      <c r="G1708" s="24"/>
      <c r="H1708" s="24"/>
      <c r="I1708" s="24"/>
      <c r="J1708" s="24" t="str">
        <f t="shared" si="51"/>
        <v/>
      </c>
      <c r="K1708" s="24" t="str">
        <f t="shared" si="52"/>
        <v/>
      </c>
    </row>
    <row r="1709" spans="1:11">
      <c r="A1709" s="35"/>
      <c r="B1709" s="24">
        <v>29</v>
      </c>
      <c r="C1709" s="23"/>
      <c r="D1709" s="23"/>
      <c r="E1709" s="24"/>
      <c r="F1709" s="24"/>
      <c r="G1709" s="24"/>
      <c r="H1709" s="24"/>
      <c r="I1709" s="24"/>
      <c r="J1709" s="24" t="str">
        <f t="shared" si="51"/>
        <v/>
      </c>
      <c r="K1709" s="24" t="str">
        <f t="shared" si="52"/>
        <v/>
      </c>
    </row>
    <row r="1710" spans="1:11">
      <c r="A1710" s="35"/>
      <c r="B1710" s="24">
        <v>30</v>
      </c>
      <c r="C1710" s="23"/>
      <c r="D1710" s="23"/>
      <c r="E1710" s="24"/>
      <c r="F1710" s="24"/>
      <c r="G1710" s="24"/>
      <c r="H1710" s="24"/>
      <c r="I1710" s="24"/>
      <c r="J1710" s="24" t="str">
        <f t="shared" si="51"/>
        <v/>
      </c>
      <c r="K1710" s="24" t="str">
        <f t="shared" si="52"/>
        <v/>
      </c>
    </row>
    <row r="1711" spans="1:11">
      <c r="A1711" s="35"/>
      <c r="B1711" s="24">
        <v>31</v>
      </c>
      <c r="C1711" s="23"/>
      <c r="D1711" s="23"/>
      <c r="E1711" s="24"/>
      <c r="F1711" s="24"/>
      <c r="G1711" s="24"/>
      <c r="H1711" s="24"/>
      <c r="I1711" s="24"/>
      <c r="J1711" s="24" t="str">
        <f t="shared" si="51"/>
        <v/>
      </c>
      <c r="K1711" s="24" t="str">
        <f t="shared" si="52"/>
        <v/>
      </c>
    </row>
    <row r="1712" spans="1:11">
      <c r="A1712" s="35"/>
      <c r="B1712" s="24">
        <v>32</v>
      </c>
      <c r="C1712" s="23"/>
      <c r="D1712" s="23"/>
      <c r="E1712" s="24"/>
      <c r="F1712" s="24"/>
      <c r="G1712" s="24"/>
      <c r="H1712" s="24"/>
      <c r="I1712" s="24"/>
      <c r="J1712" s="24" t="str">
        <f t="shared" si="51"/>
        <v/>
      </c>
      <c r="K1712" s="24" t="str">
        <f t="shared" si="52"/>
        <v/>
      </c>
    </row>
    <row r="1713" spans="1:11">
      <c r="A1713" s="35"/>
      <c r="B1713" s="24">
        <v>33</v>
      </c>
      <c r="C1713" s="23"/>
      <c r="D1713" s="23"/>
      <c r="E1713" s="24"/>
      <c r="F1713" s="24"/>
      <c r="G1713" s="24"/>
      <c r="H1713" s="24"/>
      <c r="I1713" s="24"/>
      <c r="J1713" s="24" t="str">
        <f t="shared" si="51"/>
        <v/>
      </c>
      <c r="K1713" s="24" t="str">
        <f t="shared" si="52"/>
        <v/>
      </c>
    </row>
    <row r="1714" spans="1:11">
      <c r="A1714" s="35"/>
      <c r="B1714" s="24">
        <v>34</v>
      </c>
      <c r="C1714" s="23"/>
      <c r="D1714" s="23"/>
      <c r="E1714" s="24"/>
      <c r="F1714" s="24"/>
      <c r="G1714" s="24"/>
      <c r="H1714" s="24"/>
      <c r="I1714" s="24"/>
      <c r="J1714" s="24" t="str">
        <f t="shared" si="51"/>
        <v/>
      </c>
      <c r="K1714" s="24" t="str">
        <f t="shared" si="52"/>
        <v/>
      </c>
    </row>
    <row r="1715" spans="1:11">
      <c r="A1715" s="35"/>
      <c r="B1715" s="24">
        <v>35</v>
      </c>
      <c r="C1715" s="23"/>
      <c r="D1715" s="23"/>
      <c r="E1715" s="24"/>
      <c r="F1715" s="24"/>
      <c r="G1715" s="24"/>
      <c r="H1715" s="24"/>
      <c r="I1715" s="24"/>
      <c r="J1715" s="24" t="str">
        <f t="shared" si="51"/>
        <v/>
      </c>
      <c r="K1715" s="24" t="str">
        <f t="shared" si="52"/>
        <v/>
      </c>
    </row>
    <row r="1716" spans="1:11">
      <c r="A1716" s="35"/>
      <c r="B1716" s="24">
        <v>36</v>
      </c>
      <c r="C1716" s="23"/>
      <c r="D1716" s="23"/>
      <c r="E1716" s="24"/>
      <c r="F1716" s="24"/>
      <c r="G1716" s="24"/>
      <c r="H1716" s="24"/>
      <c r="I1716" s="24"/>
      <c r="J1716" s="24" t="str">
        <f t="shared" si="51"/>
        <v/>
      </c>
      <c r="K1716" s="24" t="str">
        <f t="shared" si="52"/>
        <v/>
      </c>
    </row>
    <row r="1717" spans="1:11">
      <c r="A1717" s="35"/>
      <c r="B1717" s="24">
        <v>37</v>
      </c>
      <c r="C1717" s="23"/>
      <c r="D1717" s="23"/>
      <c r="E1717" s="24"/>
      <c r="F1717" s="24"/>
      <c r="G1717" s="24"/>
      <c r="H1717" s="24"/>
      <c r="I1717" s="24"/>
      <c r="J1717" s="24" t="str">
        <f t="shared" si="51"/>
        <v/>
      </c>
      <c r="K1717" s="24" t="str">
        <f t="shared" si="52"/>
        <v/>
      </c>
    </row>
    <row r="1718" spans="1:11">
      <c r="A1718" s="35"/>
      <c r="B1718" s="24">
        <v>38</v>
      </c>
      <c r="C1718" s="23"/>
      <c r="D1718" s="23"/>
      <c r="E1718" s="24"/>
      <c r="F1718" s="24"/>
      <c r="G1718" s="24"/>
      <c r="H1718" s="24"/>
      <c r="I1718" s="24"/>
      <c r="J1718" s="24" t="str">
        <f t="shared" si="51"/>
        <v/>
      </c>
      <c r="K1718" s="24" t="str">
        <f t="shared" si="52"/>
        <v/>
      </c>
    </row>
    <row r="1719" spans="1:11">
      <c r="A1719" s="35"/>
      <c r="B1719" s="24">
        <v>39</v>
      </c>
      <c r="C1719" s="23"/>
      <c r="D1719" s="23"/>
      <c r="E1719" s="24"/>
      <c r="F1719" s="24"/>
      <c r="G1719" s="24"/>
      <c r="H1719" s="24"/>
      <c r="I1719" s="24"/>
      <c r="J1719" s="24" t="str">
        <f t="shared" si="51"/>
        <v/>
      </c>
      <c r="K1719" s="24" t="str">
        <f t="shared" si="52"/>
        <v/>
      </c>
    </row>
    <row r="1720" spans="1:11">
      <c r="A1720" s="35"/>
      <c r="B1720" s="24">
        <v>40</v>
      </c>
      <c r="C1720" s="23"/>
      <c r="D1720" s="23"/>
      <c r="E1720" s="24"/>
      <c r="F1720" s="24"/>
      <c r="G1720" s="24"/>
      <c r="H1720" s="24"/>
      <c r="I1720" s="24"/>
      <c r="J1720" s="24" t="str">
        <f t="shared" si="51"/>
        <v/>
      </c>
      <c r="K1720" s="24" t="str">
        <f t="shared" si="52"/>
        <v/>
      </c>
    </row>
    <row r="1721" spans="1:11">
      <c r="A1721" s="35"/>
      <c r="B1721" s="24">
        <v>41</v>
      </c>
      <c r="C1721" s="23"/>
      <c r="D1721" s="23"/>
      <c r="E1721" s="24"/>
      <c r="F1721" s="24"/>
      <c r="G1721" s="24"/>
      <c r="H1721" s="24"/>
      <c r="I1721" s="24"/>
      <c r="J1721" s="24" t="str">
        <f t="shared" si="51"/>
        <v/>
      </c>
      <c r="K1721" s="24" t="str">
        <f t="shared" si="52"/>
        <v/>
      </c>
    </row>
    <row r="1722" spans="1:11">
      <c r="A1722" s="35"/>
      <c r="B1722" s="24">
        <v>42</v>
      </c>
      <c r="C1722" s="23"/>
      <c r="D1722" s="23"/>
      <c r="E1722" s="24"/>
      <c r="F1722" s="24"/>
      <c r="G1722" s="24"/>
      <c r="H1722" s="24"/>
      <c r="I1722" s="24"/>
      <c r="J1722" s="24" t="str">
        <f t="shared" si="51"/>
        <v/>
      </c>
      <c r="K1722" s="24" t="str">
        <f t="shared" si="52"/>
        <v/>
      </c>
    </row>
    <row r="1723" spans="1:11">
      <c r="A1723" s="35"/>
      <c r="B1723" s="24">
        <v>43</v>
      </c>
      <c r="C1723" s="23"/>
      <c r="D1723" s="23"/>
      <c r="E1723" s="24"/>
      <c r="F1723" s="24"/>
      <c r="G1723" s="24"/>
      <c r="H1723" s="24"/>
      <c r="I1723" s="24"/>
      <c r="J1723" s="24" t="str">
        <f t="shared" si="51"/>
        <v/>
      </c>
      <c r="K1723" s="24" t="str">
        <f t="shared" si="52"/>
        <v/>
      </c>
    </row>
    <row r="1724" spans="1:11">
      <c r="A1724" s="35"/>
      <c r="B1724" s="24">
        <v>44</v>
      </c>
      <c r="C1724" s="23"/>
      <c r="D1724" s="23"/>
      <c r="E1724" s="24"/>
      <c r="F1724" s="24"/>
      <c r="G1724" s="24"/>
      <c r="H1724" s="24"/>
      <c r="I1724" s="24"/>
      <c r="J1724" s="24" t="str">
        <f t="shared" si="51"/>
        <v/>
      </c>
      <c r="K1724" s="24" t="str">
        <f t="shared" si="52"/>
        <v/>
      </c>
    </row>
    <row r="1725" spans="1:11">
      <c r="A1725" s="35"/>
      <c r="B1725" s="24">
        <v>45</v>
      </c>
      <c r="C1725" s="23"/>
      <c r="D1725" s="23"/>
      <c r="E1725" s="24"/>
      <c r="F1725" s="24"/>
      <c r="G1725" s="24"/>
      <c r="H1725" s="24"/>
      <c r="I1725" s="24"/>
      <c r="J1725" s="24" t="str">
        <f t="shared" si="51"/>
        <v/>
      </c>
      <c r="K1725" s="24" t="str">
        <f t="shared" si="52"/>
        <v/>
      </c>
    </row>
    <row r="1726" spans="1:11">
      <c r="A1726" s="35"/>
      <c r="B1726" s="24">
        <v>46</v>
      </c>
      <c r="C1726" s="23"/>
      <c r="D1726" s="23"/>
      <c r="E1726" s="24"/>
      <c r="F1726" s="24"/>
      <c r="G1726" s="24"/>
      <c r="H1726" s="24"/>
      <c r="I1726" s="24"/>
      <c r="J1726" s="24" t="str">
        <f t="shared" si="51"/>
        <v/>
      </c>
      <c r="K1726" s="24" t="str">
        <f t="shared" si="52"/>
        <v/>
      </c>
    </row>
    <row r="1727" spans="1:11">
      <c r="A1727" s="35"/>
      <c r="B1727" s="24">
        <v>47</v>
      </c>
      <c r="C1727" s="23"/>
      <c r="D1727" s="23"/>
      <c r="E1727" s="24"/>
      <c r="F1727" s="24"/>
      <c r="G1727" s="24"/>
      <c r="H1727" s="24"/>
      <c r="I1727" s="24"/>
      <c r="J1727" s="24" t="str">
        <f t="shared" si="51"/>
        <v/>
      </c>
      <c r="K1727" s="24" t="str">
        <f t="shared" si="52"/>
        <v/>
      </c>
    </row>
    <row r="1728" spans="1:11">
      <c r="A1728" s="35"/>
      <c r="B1728" s="24">
        <v>48</v>
      </c>
      <c r="C1728" s="23"/>
      <c r="D1728" s="23"/>
      <c r="E1728" s="24"/>
      <c r="F1728" s="24"/>
      <c r="G1728" s="24"/>
      <c r="H1728" s="24"/>
      <c r="I1728" s="24"/>
      <c r="J1728" s="24" t="str">
        <f t="shared" si="51"/>
        <v/>
      </c>
      <c r="K1728" s="24" t="str">
        <f t="shared" si="52"/>
        <v/>
      </c>
    </row>
    <row r="1729" spans="1:11">
      <c r="A1729" s="35"/>
      <c r="B1729" s="24">
        <v>49</v>
      </c>
      <c r="C1729" s="23"/>
      <c r="D1729" s="23"/>
      <c r="E1729" s="24"/>
      <c r="F1729" s="24"/>
      <c r="G1729" s="24"/>
      <c r="H1729" s="24"/>
      <c r="I1729" s="24"/>
      <c r="J1729" s="24" t="str">
        <f t="shared" si="51"/>
        <v/>
      </c>
      <c r="K1729" s="24" t="str">
        <f t="shared" si="52"/>
        <v/>
      </c>
    </row>
    <row r="1730" spans="1:11">
      <c r="A1730" s="35"/>
      <c r="B1730" s="24">
        <v>50</v>
      </c>
      <c r="C1730" s="23"/>
      <c r="D1730" s="23"/>
      <c r="E1730" s="24"/>
      <c r="F1730" s="24"/>
      <c r="G1730" s="24"/>
      <c r="H1730" s="24"/>
      <c r="I1730" s="24"/>
      <c r="J1730" s="24" t="str">
        <f t="shared" si="51"/>
        <v/>
      </c>
      <c r="K1730" s="24" t="str">
        <f t="shared" si="52"/>
        <v/>
      </c>
    </row>
    <row r="1731" spans="1:11">
      <c r="A1731" s="35"/>
      <c r="B1731" s="24">
        <v>51</v>
      </c>
      <c r="C1731" s="23"/>
      <c r="D1731" s="23"/>
      <c r="E1731" s="24"/>
      <c r="F1731" s="24"/>
      <c r="G1731" s="24"/>
      <c r="H1731" s="24"/>
      <c r="I1731" s="24"/>
      <c r="J1731" s="24" t="str">
        <f t="shared" si="51"/>
        <v/>
      </c>
      <c r="K1731" s="24" t="str">
        <f t="shared" si="52"/>
        <v/>
      </c>
    </row>
    <row r="1732" spans="1:11">
      <c r="A1732" s="35"/>
      <c r="B1732" s="24">
        <v>52</v>
      </c>
      <c r="C1732" s="23"/>
      <c r="D1732" s="23"/>
      <c r="E1732" s="24"/>
      <c r="F1732" s="24"/>
      <c r="G1732" s="24"/>
      <c r="H1732" s="24"/>
      <c r="I1732" s="24"/>
      <c r="J1732" s="24" t="str">
        <f t="shared" si="51"/>
        <v/>
      </c>
      <c r="K1732" s="24" t="str">
        <f t="shared" si="52"/>
        <v/>
      </c>
    </row>
    <row r="1733" spans="1:11">
      <c r="A1733" s="35"/>
      <c r="B1733" s="24">
        <v>53</v>
      </c>
      <c r="C1733" s="23"/>
      <c r="D1733" s="23"/>
      <c r="E1733" s="24"/>
      <c r="F1733" s="24"/>
      <c r="G1733" s="24"/>
      <c r="H1733" s="24"/>
      <c r="I1733" s="24"/>
      <c r="J1733" s="24" t="str">
        <f t="shared" si="51"/>
        <v/>
      </c>
      <c r="K1733" s="24" t="str">
        <f t="shared" si="52"/>
        <v/>
      </c>
    </row>
    <row r="1734" spans="1:11">
      <c r="A1734" s="35"/>
      <c r="B1734" s="24">
        <v>54</v>
      </c>
      <c r="C1734" s="23"/>
      <c r="D1734" s="23"/>
      <c r="E1734" s="24"/>
      <c r="F1734" s="24"/>
      <c r="G1734" s="24"/>
      <c r="H1734" s="24"/>
      <c r="I1734" s="24"/>
      <c r="J1734" s="24" t="str">
        <f t="shared" si="51"/>
        <v/>
      </c>
      <c r="K1734" s="24" t="str">
        <f t="shared" si="52"/>
        <v/>
      </c>
    </row>
    <row r="1735" spans="1:11">
      <c r="A1735" s="35"/>
      <c r="B1735" s="24">
        <v>55</v>
      </c>
      <c r="C1735" s="23"/>
      <c r="D1735" s="23"/>
      <c r="E1735" s="24"/>
      <c r="F1735" s="24"/>
      <c r="G1735" s="24"/>
      <c r="H1735" s="24"/>
      <c r="I1735" s="24"/>
      <c r="J1735" s="24" t="str">
        <f t="shared" si="51"/>
        <v/>
      </c>
      <c r="K1735" s="24" t="str">
        <f t="shared" si="52"/>
        <v/>
      </c>
    </row>
    <row r="1736" spans="1:11">
      <c r="A1736" s="35"/>
      <c r="B1736" s="24">
        <v>56</v>
      </c>
      <c r="C1736" s="23"/>
      <c r="D1736" s="23"/>
      <c r="E1736" s="24"/>
      <c r="F1736" s="24"/>
      <c r="G1736" s="24"/>
      <c r="H1736" s="24"/>
      <c r="I1736" s="24"/>
      <c r="J1736" s="24" t="str">
        <f t="shared" si="51"/>
        <v/>
      </c>
      <c r="K1736" s="24" t="str">
        <f t="shared" si="52"/>
        <v/>
      </c>
    </row>
    <row r="1737" spans="1:11">
      <c r="A1737" s="35"/>
      <c r="B1737" s="24">
        <v>57</v>
      </c>
      <c r="C1737" s="23"/>
      <c r="D1737" s="23"/>
      <c r="E1737" s="24"/>
      <c r="F1737" s="24"/>
      <c r="G1737" s="24"/>
      <c r="H1737" s="24"/>
      <c r="I1737" s="24"/>
      <c r="J1737" s="24" t="str">
        <f t="shared" si="51"/>
        <v/>
      </c>
      <c r="K1737" s="24" t="str">
        <f t="shared" si="52"/>
        <v/>
      </c>
    </row>
    <row r="1738" spans="1:11">
      <c r="A1738" s="35"/>
      <c r="B1738" s="24">
        <v>58</v>
      </c>
      <c r="C1738" s="23"/>
      <c r="D1738" s="23"/>
      <c r="E1738" s="24"/>
      <c r="F1738" s="24"/>
      <c r="G1738" s="24"/>
      <c r="H1738" s="24"/>
      <c r="I1738" s="24"/>
      <c r="J1738" s="24" t="str">
        <f t="shared" si="51"/>
        <v/>
      </c>
      <c r="K1738" s="24" t="str">
        <f t="shared" si="52"/>
        <v/>
      </c>
    </row>
    <row r="1739" spans="1:11">
      <c r="A1739" s="35"/>
      <c r="B1739" s="24">
        <v>59</v>
      </c>
      <c r="C1739" s="23"/>
      <c r="D1739" s="23"/>
      <c r="E1739" s="24"/>
      <c r="F1739" s="24"/>
      <c r="G1739" s="24"/>
      <c r="H1739" s="24"/>
      <c r="I1739" s="24"/>
      <c r="J1739" s="24" t="str">
        <f t="shared" si="51"/>
        <v/>
      </c>
      <c r="K1739" s="24" t="str">
        <f t="shared" si="52"/>
        <v/>
      </c>
    </row>
    <row r="1740" spans="1:11">
      <c r="A1740" s="35"/>
      <c r="B1740" s="24">
        <v>60</v>
      </c>
      <c r="C1740" s="23"/>
      <c r="D1740" s="23"/>
      <c r="E1740" s="24"/>
      <c r="F1740" s="24"/>
      <c r="G1740" s="24"/>
      <c r="H1740" s="24"/>
      <c r="I1740" s="24"/>
      <c r="J1740" s="24" t="str">
        <f t="shared" si="51"/>
        <v/>
      </c>
      <c r="K1740" s="24" t="str">
        <f t="shared" si="52"/>
        <v/>
      </c>
    </row>
    <row r="1741" spans="1:11">
      <c r="A1741" s="35"/>
      <c r="B1741" s="34"/>
      <c r="C1741" s="34"/>
      <c r="D1741" s="34"/>
      <c r="E1741" s="34"/>
      <c r="F1741" s="34"/>
      <c r="G1741" s="34"/>
      <c r="H1741" s="34"/>
      <c r="I1741" s="33" t="s">
        <v>31</v>
      </c>
      <c r="J1741" s="33"/>
      <c r="K1741" s="24">
        <f>SUM(K1681:K1740)</f>
        <v>0</v>
      </c>
    </row>
    <row r="1742" spans="1:11">
      <c r="I1742" s="27"/>
      <c r="J1742" s="27"/>
      <c r="K1742" s="24"/>
    </row>
    <row r="1745" spans="1:11">
      <c r="A1745" s="23">
        <v>27</v>
      </c>
      <c r="B1745" s="23" t="s">
        <v>0</v>
      </c>
      <c r="C1745" s="28" t="str">
        <f>IF('Navigation and Summary'!$B$35="", "", 'Navigation and Summary'!$B$35)</f>
        <v/>
      </c>
      <c r="D1745" s="28"/>
      <c r="E1745" s="23" t="s">
        <v>37</v>
      </c>
      <c r="F1745" s="24" t="str">
        <f>IF('Navigation and Summary'!$C$35="", "", 'Navigation and Summary'!$C$35)</f>
        <v/>
      </c>
      <c r="G1745" s="23" t="s">
        <v>34</v>
      </c>
      <c r="H1745" s="24" t="str">
        <f>IF(C1745="", "", 'Navigation and Summary'!$G$6)</f>
        <v/>
      </c>
    </row>
    <row r="1746" spans="1:11">
      <c r="A1746" s="35"/>
      <c r="B1746" s="35" t="s">
        <v>32</v>
      </c>
      <c r="C1746" s="35"/>
      <c r="D1746" s="35"/>
      <c r="E1746" s="35"/>
      <c r="F1746" s="35"/>
      <c r="G1746" s="35"/>
      <c r="H1746" s="35"/>
      <c r="I1746" s="23"/>
      <c r="J1746" s="23"/>
      <c r="K1746" s="23"/>
    </row>
    <row r="1747" spans="1:11" ht="28.5">
      <c r="A1747" s="35"/>
      <c r="B1747" s="25" t="s">
        <v>1</v>
      </c>
      <c r="C1747" s="25" t="s">
        <v>2</v>
      </c>
      <c r="D1747" s="25"/>
      <c r="E1747" s="25" t="s">
        <v>3</v>
      </c>
      <c r="F1747" s="25" t="s">
        <v>4</v>
      </c>
      <c r="G1747" s="25" t="s">
        <v>5</v>
      </c>
      <c r="H1747" s="25" t="s">
        <v>6</v>
      </c>
      <c r="I1747" s="25" t="s">
        <v>7</v>
      </c>
      <c r="J1747" s="25" t="s">
        <v>8</v>
      </c>
      <c r="K1747" s="25" t="s">
        <v>9</v>
      </c>
    </row>
    <row r="1748" spans="1:11">
      <c r="A1748" s="35"/>
      <c r="B1748" s="24">
        <v>1</v>
      </c>
      <c r="C1748" s="23"/>
      <c r="D1748" s="23"/>
      <c r="E1748" s="24"/>
      <c r="F1748" s="24"/>
      <c r="G1748" s="24"/>
      <c r="H1748" s="24"/>
      <c r="I1748" s="24"/>
      <c r="J1748" s="24" t="str">
        <f>IF(SUM(E1748:I1748)=0, "", SUM(E1748:I1748))</f>
        <v/>
      </c>
      <c r="K1748" s="24" t="str">
        <f xml:space="preserve"> IFERROR(IF(($F$1745-J1748)=0, 0, ($F$1745-J1748)),$F$1745)</f>
        <v/>
      </c>
    </row>
    <row r="1749" spans="1:11">
      <c r="A1749" s="35"/>
      <c r="B1749" s="24">
        <v>2</v>
      </c>
      <c r="C1749" s="23"/>
      <c r="D1749" s="23"/>
      <c r="E1749" s="24"/>
      <c r="F1749" s="24"/>
      <c r="G1749" s="24"/>
      <c r="H1749" s="24"/>
      <c r="I1749" s="24"/>
      <c r="J1749" s="24" t="str">
        <f t="shared" ref="J1749:J1807" si="53">IF(SUM(E1749:I1749)=0, "", SUM(E1749:I1749))</f>
        <v/>
      </c>
      <c r="K1749" s="24" t="str">
        <f t="shared" ref="K1749:K1807" si="54" xml:space="preserve"> IFERROR(IF(($F$1745-J1749)=0, 0, ($F$1745-J1749)),$F$1745)</f>
        <v/>
      </c>
    </row>
    <row r="1750" spans="1:11">
      <c r="A1750" s="35"/>
      <c r="B1750" s="24">
        <v>3</v>
      </c>
      <c r="C1750" s="23"/>
      <c r="D1750" s="23"/>
      <c r="E1750" s="24"/>
      <c r="F1750" s="24"/>
      <c r="G1750" s="24"/>
      <c r="H1750" s="24"/>
      <c r="I1750" s="24"/>
      <c r="J1750" s="24" t="str">
        <f t="shared" si="53"/>
        <v/>
      </c>
      <c r="K1750" s="24" t="str">
        <f t="shared" si="54"/>
        <v/>
      </c>
    </row>
    <row r="1751" spans="1:11">
      <c r="A1751" s="35"/>
      <c r="B1751" s="24">
        <v>4</v>
      </c>
      <c r="C1751" s="23"/>
      <c r="D1751" s="23"/>
      <c r="E1751" s="24"/>
      <c r="F1751" s="24"/>
      <c r="G1751" s="24"/>
      <c r="H1751" s="24"/>
      <c r="I1751" s="24"/>
      <c r="J1751" s="24" t="str">
        <f t="shared" si="53"/>
        <v/>
      </c>
      <c r="K1751" s="24" t="str">
        <f t="shared" si="54"/>
        <v/>
      </c>
    </row>
    <row r="1752" spans="1:11">
      <c r="A1752" s="35"/>
      <c r="B1752" s="24">
        <v>5</v>
      </c>
      <c r="C1752" s="23"/>
      <c r="D1752" s="23"/>
      <c r="E1752" s="24"/>
      <c r="F1752" s="24"/>
      <c r="G1752" s="24"/>
      <c r="H1752" s="24"/>
      <c r="I1752" s="24"/>
      <c r="J1752" s="24" t="str">
        <f t="shared" si="53"/>
        <v/>
      </c>
      <c r="K1752" s="24" t="str">
        <f t="shared" si="54"/>
        <v/>
      </c>
    </row>
    <row r="1753" spans="1:11">
      <c r="A1753" s="35"/>
      <c r="B1753" s="24">
        <v>6</v>
      </c>
      <c r="C1753" s="23"/>
      <c r="D1753" s="23"/>
      <c r="E1753" s="24"/>
      <c r="F1753" s="24"/>
      <c r="G1753" s="24"/>
      <c r="H1753" s="24"/>
      <c r="I1753" s="24"/>
      <c r="J1753" s="24" t="str">
        <f t="shared" si="53"/>
        <v/>
      </c>
      <c r="K1753" s="24" t="str">
        <f t="shared" si="54"/>
        <v/>
      </c>
    </row>
    <row r="1754" spans="1:11">
      <c r="A1754" s="35"/>
      <c r="B1754" s="24">
        <v>7</v>
      </c>
      <c r="C1754" s="23"/>
      <c r="D1754" s="23"/>
      <c r="E1754" s="24"/>
      <c r="F1754" s="24"/>
      <c r="G1754" s="24"/>
      <c r="H1754" s="24"/>
      <c r="I1754" s="24"/>
      <c r="J1754" s="24" t="str">
        <f t="shared" si="53"/>
        <v/>
      </c>
      <c r="K1754" s="24" t="str">
        <f t="shared" si="54"/>
        <v/>
      </c>
    </row>
    <row r="1755" spans="1:11">
      <c r="A1755" s="35"/>
      <c r="B1755" s="24">
        <v>8</v>
      </c>
      <c r="C1755" s="23"/>
      <c r="D1755" s="23"/>
      <c r="E1755" s="24"/>
      <c r="F1755" s="24"/>
      <c r="G1755" s="24"/>
      <c r="H1755" s="24"/>
      <c r="I1755" s="24"/>
      <c r="J1755" s="24" t="str">
        <f t="shared" si="53"/>
        <v/>
      </c>
      <c r="K1755" s="24" t="str">
        <f t="shared" si="54"/>
        <v/>
      </c>
    </row>
    <row r="1756" spans="1:11">
      <c r="A1756" s="35"/>
      <c r="B1756" s="24">
        <v>9</v>
      </c>
      <c r="C1756" s="23"/>
      <c r="D1756" s="23"/>
      <c r="E1756" s="24"/>
      <c r="F1756" s="24"/>
      <c r="G1756" s="24"/>
      <c r="H1756" s="24"/>
      <c r="I1756" s="24"/>
      <c r="J1756" s="24" t="str">
        <f t="shared" si="53"/>
        <v/>
      </c>
      <c r="K1756" s="24" t="str">
        <f t="shared" si="54"/>
        <v/>
      </c>
    </row>
    <row r="1757" spans="1:11">
      <c r="A1757" s="35"/>
      <c r="B1757" s="24">
        <v>10</v>
      </c>
      <c r="C1757" s="23"/>
      <c r="D1757" s="23"/>
      <c r="E1757" s="24"/>
      <c r="F1757" s="24"/>
      <c r="G1757" s="24"/>
      <c r="H1757" s="24"/>
      <c r="I1757" s="24"/>
      <c r="J1757" s="24" t="str">
        <f t="shared" si="53"/>
        <v/>
      </c>
      <c r="K1757" s="24" t="str">
        <f t="shared" si="54"/>
        <v/>
      </c>
    </row>
    <row r="1758" spans="1:11">
      <c r="A1758" s="35"/>
      <c r="B1758" s="24">
        <v>11</v>
      </c>
      <c r="C1758" s="23"/>
      <c r="D1758" s="23"/>
      <c r="E1758" s="24"/>
      <c r="F1758" s="24"/>
      <c r="G1758" s="24"/>
      <c r="H1758" s="24"/>
      <c r="I1758" s="24"/>
      <c r="J1758" s="24" t="str">
        <f t="shared" si="53"/>
        <v/>
      </c>
      <c r="K1758" s="24" t="str">
        <f t="shared" si="54"/>
        <v/>
      </c>
    </row>
    <row r="1759" spans="1:11">
      <c r="A1759" s="35"/>
      <c r="B1759" s="24">
        <v>12</v>
      </c>
      <c r="C1759" s="23"/>
      <c r="D1759" s="23"/>
      <c r="E1759" s="24"/>
      <c r="F1759" s="24"/>
      <c r="G1759" s="24"/>
      <c r="H1759" s="24"/>
      <c r="I1759" s="24"/>
      <c r="J1759" s="24" t="str">
        <f t="shared" si="53"/>
        <v/>
      </c>
      <c r="K1759" s="24" t="str">
        <f t="shared" si="54"/>
        <v/>
      </c>
    </row>
    <row r="1760" spans="1:11">
      <c r="A1760" s="35"/>
      <c r="B1760" s="24">
        <v>13</v>
      </c>
      <c r="C1760" s="23"/>
      <c r="D1760" s="23"/>
      <c r="E1760" s="24"/>
      <c r="F1760" s="24"/>
      <c r="G1760" s="24"/>
      <c r="H1760" s="24"/>
      <c r="I1760" s="24"/>
      <c r="J1760" s="24" t="str">
        <f t="shared" si="53"/>
        <v/>
      </c>
      <c r="K1760" s="24" t="str">
        <f t="shared" si="54"/>
        <v/>
      </c>
    </row>
    <row r="1761" spans="1:11">
      <c r="A1761" s="35"/>
      <c r="B1761" s="24">
        <v>14</v>
      </c>
      <c r="C1761" s="23"/>
      <c r="D1761" s="23"/>
      <c r="E1761" s="24"/>
      <c r="F1761" s="24"/>
      <c r="G1761" s="24"/>
      <c r="H1761" s="24"/>
      <c r="I1761" s="24"/>
      <c r="J1761" s="24" t="str">
        <f t="shared" si="53"/>
        <v/>
      </c>
      <c r="K1761" s="24" t="str">
        <f t="shared" si="54"/>
        <v/>
      </c>
    </row>
    <row r="1762" spans="1:11">
      <c r="A1762" s="35"/>
      <c r="B1762" s="24">
        <v>15</v>
      </c>
      <c r="C1762" s="23"/>
      <c r="D1762" s="23"/>
      <c r="E1762" s="24"/>
      <c r="F1762" s="24"/>
      <c r="G1762" s="24"/>
      <c r="H1762" s="24"/>
      <c r="I1762" s="24"/>
      <c r="J1762" s="24" t="str">
        <f t="shared" si="53"/>
        <v/>
      </c>
      <c r="K1762" s="24" t="str">
        <f t="shared" si="54"/>
        <v/>
      </c>
    </row>
    <row r="1763" spans="1:11">
      <c r="A1763" s="35"/>
      <c r="B1763" s="24">
        <v>16</v>
      </c>
      <c r="C1763" s="23"/>
      <c r="D1763" s="23"/>
      <c r="E1763" s="24"/>
      <c r="F1763" s="24"/>
      <c r="G1763" s="24"/>
      <c r="H1763" s="24"/>
      <c r="I1763" s="24"/>
      <c r="J1763" s="24" t="str">
        <f t="shared" si="53"/>
        <v/>
      </c>
      <c r="K1763" s="24" t="str">
        <f t="shared" si="54"/>
        <v/>
      </c>
    </row>
    <row r="1764" spans="1:11">
      <c r="A1764" s="35"/>
      <c r="B1764" s="24">
        <v>17</v>
      </c>
      <c r="C1764" s="23"/>
      <c r="D1764" s="23"/>
      <c r="E1764" s="24"/>
      <c r="F1764" s="24"/>
      <c r="G1764" s="24"/>
      <c r="H1764" s="24"/>
      <c r="I1764" s="24"/>
      <c r="J1764" s="24" t="str">
        <f t="shared" si="53"/>
        <v/>
      </c>
      <c r="K1764" s="24" t="str">
        <f t="shared" si="54"/>
        <v/>
      </c>
    </row>
    <row r="1765" spans="1:11">
      <c r="A1765" s="35"/>
      <c r="B1765" s="24">
        <v>18</v>
      </c>
      <c r="C1765" s="23"/>
      <c r="D1765" s="23"/>
      <c r="E1765" s="24"/>
      <c r="F1765" s="24"/>
      <c r="G1765" s="24"/>
      <c r="H1765" s="24"/>
      <c r="I1765" s="24"/>
      <c r="J1765" s="24" t="str">
        <f t="shared" si="53"/>
        <v/>
      </c>
      <c r="K1765" s="24" t="str">
        <f t="shared" si="54"/>
        <v/>
      </c>
    </row>
    <row r="1766" spans="1:11">
      <c r="A1766" s="35"/>
      <c r="B1766" s="24">
        <v>19</v>
      </c>
      <c r="C1766" s="23"/>
      <c r="D1766" s="23"/>
      <c r="E1766" s="24"/>
      <c r="F1766" s="24"/>
      <c r="G1766" s="24"/>
      <c r="H1766" s="24"/>
      <c r="I1766" s="24"/>
      <c r="J1766" s="24" t="str">
        <f t="shared" si="53"/>
        <v/>
      </c>
      <c r="K1766" s="24" t="str">
        <f t="shared" si="54"/>
        <v/>
      </c>
    </row>
    <row r="1767" spans="1:11">
      <c r="A1767" s="35"/>
      <c r="B1767" s="24">
        <v>20</v>
      </c>
      <c r="C1767" s="23"/>
      <c r="D1767" s="23"/>
      <c r="E1767" s="24"/>
      <c r="F1767" s="24"/>
      <c r="G1767" s="24"/>
      <c r="H1767" s="24"/>
      <c r="I1767" s="24"/>
      <c r="J1767" s="24" t="str">
        <f t="shared" si="53"/>
        <v/>
      </c>
      <c r="K1767" s="24" t="str">
        <f t="shared" si="54"/>
        <v/>
      </c>
    </row>
    <row r="1768" spans="1:11">
      <c r="A1768" s="35"/>
      <c r="B1768" s="24">
        <v>21</v>
      </c>
      <c r="C1768" s="23"/>
      <c r="D1768" s="23"/>
      <c r="E1768" s="24"/>
      <c r="F1768" s="24"/>
      <c r="G1768" s="24"/>
      <c r="H1768" s="24"/>
      <c r="I1768" s="24"/>
      <c r="J1768" s="24" t="str">
        <f t="shared" si="53"/>
        <v/>
      </c>
      <c r="K1768" s="24" t="str">
        <f t="shared" si="54"/>
        <v/>
      </c>
    </row>
    <row r="1769" spans="1:11">
      <c r="A1769" s="35"/>
      <c r="B1769" s="24">
        <v>22</v>
      </c>
      <c r="C1769" s="23"/>
      <c r="D1769" s="23"/>
      <c r="E1769" s="24"/>
      <c r="F1769" s="24"/>
      <c r="G1769" s="24"/>
      <c r="H1769" s="24"/>
      <c r="I1769" s="24"/>
      <c r="J1769" s="24" t="str">
        <f t="shared" si="53"/>
        <v/>
      </c>
      <c r="K1769" s="24" t="str">
        <f t="shared" si="54"/>
        <v/>
      </c>
    </row>
    <row r="1770" spans="1:11">
      <c r="A1770" s="35"/>
      <c r="B1770" s="24">
        <v>23</v>
      </c>
      <c r="C1770" s="23"/>
      <c r="D1770" s="23"/>
      <c r="E1770" s="24"/>
      <c r="F1770" s="24"/>
      <c r="G1770" s="24"/>
      <c r="H1770" s="24"/>
      <c r="I1770" s="24"/>
      <c r="J1770" s="24" t="str">
        <f t="shared" si="53"/>
        <v/>
      </c>
      <c r="K1770" s="24" t="str">
        <f t="shared" si="54"/>
        <v/>
      </c>
    </row>
    <row r="1771" spans="1:11">
      <c r="A1771" s="35"/>
      <c r="B1771" s="24">
        <v>24</v>
      </c>
      <c r="C1771" s="23"/>
      <c r="D1771" s="23"/>
      <c r="E1771" s="24"/>
      <c r="F1771" s="24"/>
      <c r="G1771" s="24"/>
      <c r="H1771" s="24"/>
      <c r="I1771" s="24"/>
      <c r="J1771" s="24" t="str">
        <f t="shared" si="53"/>
        <v/>
      </c>
      <c r="K1771" s="24" t="str">
        <f t="shared" si="54"/>
        <v/>
      </c>
    </row>
    <row r="1772" spans="1:11">
      <c r="A1772" s="35"/>
      <c r="B1772" s="24">
        <v>25</v>
      </c>
      <c r="C1772" s="23"/>
      <c r="D1772" s="23"/>
      <c r="E1772" s="24"/>
      <c r="F1772" s="24"/>
      <c r="G1772" s="24"/>
      <c r="H1772" s="24"/>
      <c r="I1772" s="24"/>
      <c r="J1772" s="24" t="str">
        <f t="shared" si="53"/>
        <v/>
      </c>
      <c r="K1772" s="24" t="str">
        <f t="shared" si="54"/>
        <v/>
      </c>
    </row>
    <row r="1773" spans="1:11">
      <c r="A1773" s="35"/>
      <c r="B1773" s="24">
        <v>26</v>
      </c>
      <c r="C1773" s="23"/>
      <c r="D1773" s="23"/>
      <c r="E1773" s="24"/>
      <c r="F1773" s="24"/>
      <c r="G1773" s="24"/>
      <c r="H1773" s="24"/>
      <c r="I1773" s="24"/>
      <c r="J1773" s="24" t="str">
        <f t="shared" si="53"/>
        <v/>
      </c>
      <c r="K1773" s="24" t="str">
        <f t="shared" si="54"/>
        <v/>
      </c>
    </row>
    <row r="1774" spans="1:11">
      <c r="A1774" s="35"/>
      <c r="B1774" s="24">
        <v>27</v>
      </c>
      <c r="C1774" s="23"/>
      <c r="D1774" s="23"/>
      <c r="E1774" s="24"/>
      <c r="F1774" s="24"/>
      <c r="G1774" s="24"/>
      <c r="H1774" s="24"/>
      <c r="I1774" s="24"/>
      <c r="J1774" s="24" t="str">
        <f t="shared" si="53"/>
        <v/>
      </c>
      <c r="K1774" s="24" t="str">
        <f t="shared" si="54"/>
        <v/>
      </c>
    </row>
    <row r="1775" spans="1:11">
      <c r="A1775" s="35"/>
      <c r="B1775" s="24">
        <v>28</v>
      </c>
      <c r="C1775" s="23"/>
      <c r="D1775" s="23"/>
      <c r="E1775" s="24"/>
      <c r="F1775" s="24"/>
      <c r="G1775" s="24"/>
      <c r="H1775" s="24"/>
      <c r="I1775" s="24"/>
      <c r="J1775" s="24" t="str">
        <f t="shared" si="53"/>
        <v/>
      </c>
      <c r="K1775" s="24" t="str">
        <f t="shared" si="54"/>
        <v/>
      </c>
    </row>
    <row r="1776" spans="1:11">
      <c r="A1776" s="35"/>
      <c r="B1776" s="24">
        <v>29</v>
      </c>
      <c r="C1776" s="23"/>
      <c r="D1776" s="23"/>
      <c r="E1776" s="24"/>
      <c r="F1776" s="24"/>
      <c r="G1776" s="24"/>
      <c r="H1776" s="24"/>
      <c r="I1776" s="24"/>
      <c r="J1776" s="24" t="str">
        <f t="shared" si="53"/>
        <v/>
      </c>
      <c r="K1776" s="24" t="str">
        <f t="shared" si="54"/>
        <v/>
      </c>
    </row>
    <row r="1777" spans="1:11">
      <c r="A1777" s="35"/>
      <c r="B1777" s="24">
        <v>30</v>
      </c>
      <c r="C1777" s="23"/>
      <c r="D1777" s="23"/>
      <c r="E1777" s="24"/>
      <c r="F1777" s="24"/>
      <c r="G1777" s="24"/>
      <c r="H1777" s="24"/>
      <c r="I1777" s="24"/>
      <c r="J1777" s="24" t="str">
        <f t="shared" si="53"/>
        <v/>
      </c>
      <c r="K1777" s="24" t="str">
        <f t="shared" si="54"/>
        <v/>
      </c>
    </row>
    <row r="1778" spans="1:11">
      <c r="A1778" s="35"/>
      <c r="B1778" s="24">
        <v>31</v>
      </c>
      <c r="C1778" s="23"/>
      <c r="D1778" s="23"/>
      <c r="E1778" s="24"/>
      <c r="F1778" s="24"/>
      <c r="G1778" s="24"/>
      <c r="H1778" s="24"/>
      <c r="I1778" s="24"/>
      <c r="J1778" s="24" t="str">
        <f t="shared" si="53"/>
        <v/>
      </c>
      <c r="K1778" s="24" t="str">
        <f t="shared" si="54"/>
        <v/>
      </c>
    </row>
    <row r="1779" spans="1:11">
      <c r="A1779" s="35"/>
      <c r="B1779" s="24">
        <v>32</v>
      </c>
      <c r="C1779" s="23"/>
      <c r="D1779" s="23"/>
      <c r="E1779" s="24"/>
      <c r="F1779" s="24"/>
      <c r="G1779" s="24"/>
      <c r="H1779" s="24"/>
      <c r="I1779" s="24"/>
      <c r="J1779" s="24" t="str">
        <f t="shared" si="53"/>
        <v/>
      </c>
      <c r="K1779" s="24" t="str">
        <f t="shared" si="54"/>
        <v/>
      </c>
    </row>
    <row r="1780" spans="1:11">
      <c r="A1780" s="35"/>
      <c r="B1780" s="24">
        <v>33</v>
      </c>
      <c r="C1780" s="23"/>
      <c r="D1780" s="23"/>
      <c r="E1780" s="24"/>
      <c r="F1780" s="24"/>
      <c r="G1780" s="24"/>
      <c r="H1780" s="24"/>
      <c r="I1780" s="24"/>
      <c r="J1780" s="24" t="str">
        <f t="shared" si="53"/>
        <v/>
      </c>
      <c r="K1780" s="24" t="str">
        <f t="shared" si="54"/>
        <v/>
      </c>
    </row>
    <row r="1781" spans="1:11">
      <c r="A1781" s="35"/>
      <c r="B1781" s="24">
        <v>34</v>
      </c>
      <c r="C1781" s="23"/>
      <c r="D1781" s="23"/>
      <c r="E1781" s="24"/>
      <c r="F1781" s="24"/>
      <c r="G1781" s="24"/>
      <c r="H1781" s="24"/>
      <c r="I1781" s="24"/>
      <c r="J1781" s="24" t="str">
        <f t="shared" si="53"/>
        <v/>
      </c>
      <c r="K1781" s="24" t="str">
        <f t="shared" si="54"/>
        <v/>
      </c>
    </row>
    <row r="1782" spans="1:11">
      <c r="A1782" s="35"/>
      <c r="B1782" s="24">
        <v>35</v>
      </c>
      <c r="C1782" s="23"/>
      <c r="D1782" s="23"/>
      <c r="E1782" s="24"/>
      <c r="F1782" s="24"/>
      <c r="G1782" s="24"/>
      <c r="H1782" s="24"/>
      <c r="I1782" s="24"/>
      <c r="J1782" s="24" t="str">
        <f t="shared" si="53"/>
        <v/>
      </c>
      <c r="K1782" s="24" t="str">
        <f t="shared" si="54"/>
        <v/>
      </c>
    </row>
    <row r="1783" spans="1:11">
      <c r="A1783" s="35"/>
      <c r="B1783" s="24">
        <v>36</v>
      </c>
      <c r="C1783" s="23"/>
      <c r="D1783" s="23"/>
      <c r="E1783" s="24"/>
      <c r="F1783" s="24"/>
      <c r="G1783" s="24"/>
      <c r="H1783" s="24"/>
      <c r="I1783" s="24"/>
      <c r="J1783" s="24" t="str">
        <f t="shared" si="53"/>
        <v/>
      </c>
      <c r="K1783" s="24" t="str">
        <f t="shared" si="54"/>
        <v/>
      </c>
    </row>
    <row r="1784" spans="1:11">
      <c r="A1784" s="35"/>
      <c r="B1784" s="24">
        <v>37</v>
      </c>
      <c r="C1784" s="23"/>
      <c r="D1784" s="23"/>
      <c r="E1784" s="24"/>
      <c r="F1784" s="24"/>
      <c r="G1784" s="24"/>
      <c r="H1784" s="24"/>
      <c r="I1784" s="24"/>
      <c r="J1784" s="24" t="str">
        <f t="shared" si="53"/>
        <v/>
      </c>
      <c r="K1784" s="24" t="str">
        <f t="shared" si="54"/>
        <v/>
      </c>
    </row>
    <row r="1785" spans="1:11">
      <c r="A1785" s="35"/>
      <c r="B1785" s="24">
        <v>38</v>
      </c>
      <c r="C1785" s="23"/>
      <c r="D1785" s="23"/>
      <c r="E1785" s="24"/>
      <c r="F1785" s="24"/>
      <c r="G1785" s="24"/>
      <c r="H1785" s="24"/>
      <c r="I1785" s="24"/>
      <c r="J1785" s="24" t="str">
        <f t="shared" si="53"/>
        <v/>
      </c>
      <c r="K1785" s="24" t="str">
        <f t="shared" si="54"/>
        <v/>
      </c>
    </row>
    <row r="1786" spans="1:11">
      <c r="A1786" s="35"/>
      <c r="B1786" s="24">
        <v>39</v>
      </c>
      <c r="C1786" s="23"/>
      <c r="D1786" s="23"/>
      <c r="E1786" s="24"/>
      <c r="F1786" s="24"/>
      <c r="G1786" s="24"/>
      <c r="H1786" s="24"/>
      <c r="I1786" s="24"/>
      <c r="J1786" s="24" t="str">
        <f t="shared" si="53"/>
        <v/>
      </c>
      <c r="K1786" s="24" t="str">
        <f t="shared" si="54"/>
        <v/>
      </c>
    </row>
    <row r="1787" spans="1:11">
      <c r="A1787" s="35"/>
      <c r="B1787" s="24">
        <v>40</v>
      </c>
      <c r="C1787" s="23"/>
      <c r="D1787" s="23"/>
      <c r="E1787" s="24"/>
      <c r="F1787" s="24"/>
      <c r="G1787" s="24"/>
      <c r="H1787" s="24"/>
      <c r="I1787" s="24"/>
      <c r="J1787" s="24" t="str">
        <f t="shared" si="53"/>
        <v/>
      </c>
      <c r="K1787" s="24" t="str">
        <f t="shared" si="54"/>
        <v/>
      </c>
    </row>
    <row r="1788" spans="1:11">
      <c r="A1788" s="35"/>
      <c r="B1788" s="24">
        <v>41</v>
      </c>
      <c r="C1788" s="23"/>
      <c r="D1788" s="23"/>
      <c r="E1788" s="24"/>
      <c r="F1788" s="24"/>
      <c r="G1788" s="24"/>
      <c r="H1788" s="24"/>
      <c r="I1788" s="24"/>
      <c r="J1788" s="24" t="str">
        <f t="shared" si="53"/>
        <v/>
      </c>
      <c r="K1788" s="24" t="str">
        <f t="shared" si="54"/>
        <v/>
      </c>
    </row>
    <row r="1789" spans="1:11">
      <c r="A1789" s="35"/>
      <c r="B1789" s="24">
        <v>42</v>
      </c>
      <c r="C1789" s="23"/>
      <c r="D1789" s="23"/>
      <c r="E1789" s="24"/>
      <c r="F1789" s="24"/>
      <c r="G1789" s="24"/>
      <c r="H1789" s="24"/>
      <c r="I1789" s="24"/>
      <c r="J1789" s="24" t="str">
        <f t="shared" si="53"/>
        <v/>
      </c>
      <c r="K1789" s="24" t="str">
        <f t="shared" si="54"/>
        <v/>
      </c>
    </row>
    <row r="1790" spans="1:11">
      <c r="A1790" s="35"/>
      <c r="B1790" s="24">
        <v>43</v>
      </c>
      <c r="C1790" s="23"/>
      <c r="D1790" s="23"/>
      <c r="E1790" s="24"/>
      <c r="F1790" s="24"/>
      <c r="G1790" s="24"/>
      <c r="H1790" s="24"/>
      <c r="I1790" s="24"/>
      <c r="J1790" s="24" t="str">
        <f t="shared" si="53"/>
        <v/>
      </c>
      <c r="K1790" s="24" t="str">
        <f t="shared" si="54"/>
        <v/>
      </c>
    </row>
    <row r="1791" spans="1:11">
      <c r="A1791" s="35"/>
      <c r="B1791" s="24">
        <v>44</v>
      </c>
      <c r="C1791" s="23"/>
      <c r="D1791" s="23"/>
      <c r="E1791" s="24"/>
      <c r="F1791" s="24"/>
      <c r="G1791" s="24"/>
      <c r="H1791" s="24"/>
      <c r="I1791" s="24"/>
      <c r="J1791" s="24" t="str">
        <f t="shared" si="53"/>
        <v/>
      </c>
      <c r="K1791" s="24" t="str">
        <f t="shared" si="54"/>
        <v/>
      </c>
    </row>
    <row r="1792" spans="1:11">
      <c r="A1792" s="35"/>
      <c r="B1792" s="24">
        <v>45</v>
      </c>
      <c r="C1792" s="23"/>
      <c r="D1792" s="23"/>
      <c r="E1792" s="24"/>
      <c r="F1792" s="24"/>
      <c r="G1792" s="24"/>
      <c r="H1792" s="24"/>
      <c r="I1792" s="24"/>
      <c r="J1792" s="24" t="str">
        <f t="shared" si="53"/>
        <v/>
      </c>
      <c r="K1792" s="24" t="str">
        <f t="shared" si="54"/>
        <v/>
      </c>
    </row>
    <row r="1793" spans="1:11">
      <c r="A1793" s="35"/>
      <c r="B1793" s="24">
        <v>46</v>
      </c>
      <c r="C1793" s="23"/>
      <c r="D1793" s="23"/>
      <c r="E1793" s="24"/>
      <c r="F1793" s="24"/>
      <c r="G1793" s="24"/>
      <c r="H1793" s="24"/>
      <c r="I1793" s="24"/>
      <c r="J1793" s="24" t="str">
        <f t="shared" si="53"/>
        <v/>
      </c>
      <c r="K1793" s="24" t="str">
        <f t="shared" si="54"/>
        <v/>
      </c>
    </row>
    <row r="1794" spans="1:11">
      <c r="A1794" s="35"/>
      <c r="B1794" s="24">
        <v>47</v>
      </c>
      <c r="C1794" s="23"/>
      <c r="D1794" s="23"/>
      <c r="E1794" s="24"/>
      <c r="F1794" s="24"/>
      <c r="G1794" s="24"/>
      <c r="H1794" s="24"/>
      <c r="I1794" s="24"/>
      <c r="J1794" s="24" t="str">
        <f t="shared" si="53"/>
        <v/>
      </c>
      <c r="K1794" s="24" t="str">
        <f t="shared" si="54"/>
        <v/>
      </c>
    </row>
    <row r="1795" spans="1:11">
      <c r="A1795" s="35"/>
      <c r="B1795" s="24">
        <v>48</v>
      </c>
      <c r="C1795" s="23"/>
      <c r="D1795" s="23"/>
      <c r="E1795" s="24"/>
      <c r="F1795" s="24"/>
      <c r="G1795" s="24"/>
      <c r="H1795" s="24"/>
      <c r="I1795" s="24"/>
      <c r="J1795" s="24" t="str">
        <f t="shared" si="53"/>
        <v/>
      </c>
      <c r="K1795" s="24" t="str">
        <f t="shared" si="54"/>
        <v/>
      </c>
    </row>
    <row r="1796" spans="1:11">
      <c r="A1796" s="35"/>
      <c r="B1796" s="24">
        <v>49</v>
      </c>
      <c r="C1796" s="23"/>
      <c r="D1796" s="23"/>
      <c r="E1796" s="24"/>
      <c r="F1796" s="24"/>
      <c r="G1796" s="24"/>
      <c r="H1796" s="24"/>
      <c r="I1796" s="24"/>
      <c r="J1796" s="24" t="str">
        <f t="shared" si="53"/>
        <v/>
      </c>
      <c r="K1796" s="24" t="str">
        <f t="shared" si="54"/>
        <v/>
      </c>
    </row>
    <row r="1797" spans="1:11">
      <c r="A1797" s="35"/>
      <c r="B1797" s="24">
        <v>50</v>
      </c>
      <c r="C1797" s="23"/>
      <c r="D1797" s="23"/>
      <c r="E1797" s="24"/>
      <c r="F1797" s="24"/>
      <c r="G1797" s="24"/>
      <c r="H1797" s="24"/>
      <c r="I1797" s="24"/>
      <c r="J1797" s="24" t="str">
        <f t="shared" si="53"/>
        <v/>
      </c>
      <c r="K1797" s="24" t="str">
        <f t="shared" si="54"/>
        <v/>
      </c>
    </row>
    <row r="1798" spans="1:11">
      <c r="A1798" s="35"/>
      <c r="B1798" s="24">
        <v>51</v>
      </c>
      <c r="C1798" s="23"/>
      <c r="D1798" s="23"/>
      <c r="E1798" s="24"/>
      <c r="F1798" s="24"/>
      <c r="G1798" s="24"/>
      <c r="H1798" s="24"/>
      <c r="I1798" s="24"/>
      <c r="J1798" s="24" t="str">
        <f t="shared" si="53"/>
        <v/>
      </c>
      <c r="K1798" s="24" t="str">
        <f t="shared" si="54"/>
        <v/>
      </c>
    </row>
    <row r="1799" spans="1:11">
      <c r="A1799" s="35"/>
      <c r="B1799" s="24">
        <v>52</v>
      </c>
      <c r="C1799" s="23"/>
      <c r="D1799" s="23"/>
      <c r="E1799" s="24"/>
      <c r="F1799" s="24"/>
      <c r="G1799" s="24"/>
      <c r="H1799" s="24"/>
      <c r="I1799" s="24"/>
      <c r="J1799" s="24" t="str">
        <f t="shared" si="53"/>
        <v/>
      </c>
      <c r="K1799" s="24" t="str">
        <f t="shared" si="54"/>
        <v/>
      </c>
    </row>
    <row r="1800" spans="1:11">
      <c r="A1800" s="35"/>
      <c r="B1800" s="24">
        <v>53</v>
      </c>
      <c r="C1800" s="23"/>
      <c r="D1800" s="23"/>
      <c r="E1800" s="24"/>
      <c r="F1800" s="24"/>
      <c r="G1800" s="24"/>
      <c r="H1800" s="24"/>
      <c r="I1800" s="24"/>
      <c r="J1800" s="24" t="str">
        <f t="shared" si="53"/>
        <v/>
      </c>
      <c r="K1800" s="24" t="str">
        <f t="shared" si="54"/>
        <v/>
      </c>
    </row>
    <row r="1801" spans="1:11">
      <c r="A1801" s="35"/>
      <c r="B1801" s="24">
        <v>54</v>
      </c>
      <c r="C1801" s="23"/>
      <c r="D1801" s="23"/>
      <c r="E1801" s="24"/>
      <c r="F1801" s="24"/>
      <c r="G1801" s="24"/>
      <c r="H1801" s="24"/>
      <c r="I1801" s="24"/>
      <c r="J1801" s="24" t="str">
        <f t="shared" si="53"/>
        <v/>
      </c>
      <c r="K1801" s="24" t="str">
        <f t="shared" si="54"/>
        <v/>
      </c>
    </row>
    <row r="1802" spans="1:11">
      <c r="A1802" s="35"/>
      <c r="B1802" s="24">
        <v>55</v>
      </c>
      <c r="C1802" s="23"/>
      <c r="D1802" s="23"/>
      <c r="E1802" s="24"/>
      <c r="F1802" s="24"/>
      <c r="G1802" s="24"/>
      <c r="H1802" s="24"/>
      <c r="I1802" s="24"/>
      <c r="J1802" s="24" t="str">
        <f t="shared" si="53"/>
        <v/>
      </c>
      <c r="K1802" s="24" t="str">
        <f t="shared" si="54"/>
        <v/>
      </c>
    </row>
    <row r="1803" spans="1:11">
      <c r="A1803" s="35"/>
      <c r="B1803" s="24">
        <v>56</v>
      </c>
      <c r="C1803" s="23"/>
      <c r="D1803" s="23"/>
      <c r="E1803" s="24"/>
      <c r="F1803" s="24"/>
      <c r="G1803" s="24"/>
      <c r="H1803" s="24"/>
      <c r="I1803" s="24"/>
      <c r="J1803" s="24" t="str">
        <f t="shared" si="53"/>
        <v/>
      </c>
      <c r="K1803" s="24" t="str">
        <f t="shared" si="54"/>
        <v/>
      </c>
    </row>
    <row r="1804" spans="1:11">
      <c r="A1804" s="35"/>
      <c r="B1804" s="24">
        <v>57</v>
      </c>
      <c r="C1804" s="23"/>
      <c r="D1804" s="23"/>
      <c r="E1804" s="24"/>
      <c r="F1804" s="24"/>
      <c r="G1804" s="24"/>
      <c r="H1804" s="24"/>
      <c r="I1804" s="24"/>
      <c r="J1804" s="24" t="str">
        <f t="shared" si="53"/>
        <v/>
      </c>
      <c r="K1804" s="24" t="str">
        <f t="shared" si="54"/>
        <v/>
      </c>
    </row>
    <row r="1805" spans="1:11">
      <c r="A1805" s="35"/>
      <c r="B1805" s="24">
        <v>58</v>
      </c>
      <c r="C1805" s="23"/>
      <c r="D1805" s="23"/>
      <c r="E1805" s="24"/>
      <c r="F1805" s="24"/>
      <c r="G1805" s="24"/>
      <c r="H1805" s="24"/>
      <c r="I1805" s="24"/>
      <c r="J1805" s="24" t="str">
        <f t="shared" si="53"/>
        <v/>
      </c>
      <c r="K1805" s="24" t="str">
        <f t="shared" si="54"/>
        <v/>
      </c>
    </row>
    <row r="1806" spans="1:11">
      <c r="A1806" s="35"/>
      <c r="B1806" s="24">
        <v>59</v>
      </c>
      <c r="C1806" s="23"/>
      <c r="D1806" s="23"/>
      <c r="E1806" s="24"/>
      <c r="F1806" s="24"/>
      <c r="G1806" s="24"/>
      <c r="H1806" s="24"/>
      <c r="I1806" s="24"/>
      <c r="J1806" s="24" t="str">
        <f t="shared" si="53"/>
        <v/>
      </c>
      <c r="K1806" s="24" t="str">
        <f t="shared" si="54"/>
        <v/>
      </c>
    </row>
    <row r="1807" spans="1:11">
      <c r="A1807" s="35"/>
      <c r="B1807" s="24">
        <v>60</v>
      </c>
      <c r="C1807" s="23"/>
      <c r="D1807" s="23"/>
      <c r="E1807" s="24"/>
      <c r="F1807" s="24"/>
      <c r="G1807" s="24"/>
      <c r="H1807" s="24"/>
      <c r="I1807" s="24"/>
      <c r="J1807" s="24" t="str">
        <f t="shared" si="53"/>
        <v/>
      </c>
      <c r="K1807" s="24" t="str">
        <f t="shared" si="54"/>
        <v/>
      </c>
    </row>
    <row r="1808" spans="1:11">
      <c r="A1808" s="35"/>
      <c r="B1808" s="34"/>
      <c r="C1808" s="34"/>
      <c r="D1808" s="34"/>
      <c r="E1808" s="34"/>
      <c r="F1808" s="34"/>
      <c r="G1808" s="34"/>
      <c r="H1808" s="34"/>
      <c r="I1808" s="33" t="s">
        <v>31</v>
      </c>
      <c r="J1808" s="33"/>
      <c r="K1808" s="24">
        <f>SUM(K1748:K1807)</f>
        <v>0</v>
      </c>
    </row>
    <row r="1809" spans="1:11">
      <c r="I1809" s="27"/>
      <c r="J1809" s="27"/>
      <c r="K1809" s="24"/>
    </row>
    <row r="1810" spans="1:11">
      <c r="I1810" s="27"/>
      <c r="J1810" s="27"/>
      <c r="K1810" s="24"/>
    </row>
    <row r="1812" spans="1:11">
      <c r="A1812" s="23">
        <v>28</v>
      </c>
      <c r="B1812" s="23" t="s">
        <v>0</v>
      </c>
      <c r="C1812" s="28" t="str">
        <f>IF('Navigation and Summary'!$B$36="", "", 'Navigation and Summary'!$B$36)</f>
        <v/>
      </c>
      <c r="D1812" s="28"/>
      <c r="E1812" s="23" t="s">
        <v>37</v>
      </c>
      <c r="F1812" s="24" t="str">
        <f>IF('Navigation and Summary'!$C$36="", "", 'Navigation and Summary'!$C$36)</f>
        <v/>
      </c>
      <c r="G1812" s="23" t="s">
        <v>34</v>
      </c>
      <c r="H1812" s="24" t="str">
        <f>IF(C1812="", "", 'Navigation and Summary'!$G$6)</f>
        <v/>
      </c>
    </row>
    <row r="1813" spans="1:11">
      <c r="A1813" s="35"/>
      <c r="B1813" s="35" t="s">
        <v>32</v>
      </c>
      <c r="C1813" s="35"/>
      <c r="D1813" s="35"/>
      <c r="E1813" s="35"/>
      <c r="F1813" s="35"/>
      <c r="G1813" s="35"/>
      <c r="H1813" s="35"/>
      <c r="I1813" s="23"/>
      <c r="J1813" s="23"/>
      <c r="K1813" s="23"/>
    </row>
    <row r="1814" spans="1:11" ht="28.5">
      <c r="A1814" s="35"/>
      <c r="B1814" s="25" t="s">
        <v>1</v>
      </c>
      <c r="C1814" s="25" t="s">
        <v>2</v>
      </c>
      <c r="D1814" s="25"/>
      <c r="E1814" s="25" t="s">
        <v>3</v>
      </c>
      <c r="F1814" s="25" t="s">
        <v>4</v>
      </c>
      <c r="G1814" s="25" t="s">
        <v>5</v>
      </c>
      <c r="H1814" s="25" t="s">
        <v>6</v>
      </c>
      <c r="I1814" s="25" t="s">
        <v>7</v>
      </c>
      <c r="J1814" s="25" t="s">
        <v>8</v>
      </c>
      <c r="K1814" s="25" t="s">
        <v>9</v>
      </c>
    </row>
    <row r="1815" spans="1:11">
      <c r="A1815" s="35"/>
      <c r="B1815" s="24">
        <v>1</v>
      </c>
      <c r="C1815" s="23"/>
      <c r="D1815" s="23"/>
      <c r="E1815" s="24"/>
      <c r="F1815" s="24"/>
      <c r="G1815" s="24"/>
      <c r="H1815" s="24"/>
      <c r="I1815" s="24"/>
      <c r="J1815" s="24" t="str">
        <f>IF(SUM(E1815:I1815)=0, "", SUM(E1815:I1815))</f>
        <v/>
      </c>
      <c r="K1815" s="24" t="str">
        <f xml:space="preserve"> IFERROR(IF(($F$1812-J1815)=0, 0, ($F$1812-J1815)),$F$1812)</f>
        <v/>
      </c>
    </row>
    <row r="1816" spans="1:11">
      <c r="A1816" s="35"/>
      <c r="B1816" s="24">
        <v>2</v>
      </c>
      <c r="C1816" s="23"/>
      <c r="D1816" s="23"/>
      <c r="E1816" s="24"/>
      <c r="F1816" s="24"/>
      <c r="G1816" s="24"/>
      <c r="H1816" s="24"/>
      <c r="I1816" s="24"/>
      <c r="J1816" s="24" t="str">
        <f t="shared" ref="J1816:J1874" si="55">IF(SUM(E1816:I1816)=0, "", SUM(E1816:I1816))</f>
        <v/>
      </c>
      <c r="K1816" s="24" t="str">
        <f t="shared" ref="K1816:K1874" si="56" xml:space="preserve"> IFERROR(IF(($F$1812-J1816)=0, 0, ($F$1812-J1816)),$F$1812)</f>
        <v/>
      </c>
    </row>
    <row r="1817" spans="1:11">
      <c r="A1817" s="35"/>
      <c r="B1817" s="24">
        <v>3</v>
      </c>
      <c r="C1817" s="23"/>
      <c r="D1817" s="23"/>
      <c r="E1817" s="24"/>
      <c r="F1817" s="24"/>
      <c r="G1817" s="24"/>
      <c r="H1817" s="24"/>
      <c r="I1817" s="24"/>
      <c r="J1817" s="24" t="str">
        <f t="shared" si="55"/>
        <v/>
      </c>
      <c r="K1817" s="24" t="str">
        <f t="shared" si="56"/>
        <v/>
      </c>
    </row>
    <row r="1818" spans="1:11">
      <c r="A1818" s="35"/>
      <c r="B1818" s="24">
        <v>4</v>
      </c>
      <c r="C1818" s="23"/>
      <c r="D1818" s="23"/>
      <c r="E1818" s="24"/>
      <c r="F1818" s="24"/>
      <c r="G1818" s="24"/>
      <c r="H1818" s="24"/>
      <c r="I1818" s="24"/>
      <c r="J1818" s="24" t="str">
        <f t="shared" si="55"/>
        <v/>
      </c>
      <c r="K1818" s="24" t="str">
        <f t="shared" si="56"/>
        <v/>
      </c>
    </row>
    <row r="1819" spans="1:11">
      <c r="A1819" s="35"/>
      <c r="B1819" s="24">
        <v>5</v>
      </c>
      <c r="C1819" s="23"/>
      <c r="D1819" s="23"/>
      <c r="E1819" s="24"/>
      <c r="F1819" s="24"/>
      <c r="G1819" s="24"/>
      <c r="H1819" s="24"/>
      <c r="I1819" s="24"/>
      <c r="J1819" s="24" t="str">
        <f t="shared" si="55"/>
        <v/>
      </c>
      <c r="K1819" s="24" t="str">
        <f t="shared" si="56"/>
        <v/>
      </c>
    </row>
    <row r="1820" spans="1:11">
      <c r="A1820" s="35"/>
      <c r="B1820" s="24">
        <v>6</v>
      </c>
      <c r="C1820" s="23"/>
      <c r="D1820" s="23"/>
      <c r="E1820" s="24"/>
      <c r="F1820" s="24"/>
      <c r="G1820" s="24"/>
      <c r="H1820" s="24"/>
      <c r="I1820" s="24"/>
      <c r="J1820" s="24" t="str">
        <f t="shared" si="55"/>
        <v/>
      </c>
      <c r="K1820" s="24" t="str">
        <f t="shared" si="56"/>
        <v/>
      </c>
    </row>
    <row r="1821" spans="1:11">
      <c r="A1821" s="35"/>
      <c r="B1821" s="24">
        <v>7</v>
      </c>
      <c r="C1821" s="23"/>
      <c r="D1821" s="23"/>
      <c r="E1821" s="24"/>
      <c r="F1821" s="24"/>
      <c r="G1821" s="24"/>
      <c r="H1821" s="24"/>
      <c r="I1821" s="24"/>
      <c r="J1821" s="24" t="str">
        <f t="shared" si="55"/>
        <v/>
      </c>
      <c r="K1821" s="24" t="str">
        <f t="shared" si="56"/>
        <v/>
      </c>
    </row>
    <row r="1822" spans="1:11">
      <c r="A1822" s="35"/>
      <c r="B1822" s="24">
        <v>8</v>
      </c>
      <c r="C1822" s="23"/>
      <c r="D1822" s="23"/>
      <c r="E1822" s="24"/>
      <c r="F1822" s="24"/>
      <c r="G1822" s="24"/>
      <c r="H1822" s="24"/>
      <c r="I1822" s="24"/>
      <c r="J1822" s="24" t="str">
        <f t="shared" si="55"/>
        <v/>
      </c>
      <c r="K1822" s="24" t="str">
        <f t="shared" si="56"/>
        <v/>
      </c>
    </row>
    <row r="1823" spans="1:11">
      <c r="A1823" s="35"/>
      <c r="B1823" s="24">
        <v>9</v>
      </c>
      <c r="C1823" s="23"/>
      <c r="D1823" s="23"/>
      <c r="E1823" s="24"/>
      <c r="F1823" s="24"/>
      <c r="G1823" s="24"/>
      <c r="H1823" s="24"/>
      <c r="I1823" s="24"/>
      <c r="J1823" s="24" t="str">
        <f t="shared" si="55"/>
        <v/>
      </c>
      <c r="K1823" s="24" t="str">
        <f t="shared" si="56"/>
        <v/>
      </c>
    </row>
    <row r="1824" spans="1:11">
      <c r="A1824" s="35"/>
      <c r="B1824" s="24">
        <v>10</v>
      </c>
      <c r="C1824" s="23"/>
      <c r="D1824" s="23"/>
      <c r="E1824" s="24"/>
      <c r="F1824" s="24"/>
      <c r="G1824" s="24"/>
      <c r="H1824" s="24"/>
      <c r="I1824" s="24"/>
      <c r="J1824" s="24" t="str">
        <f t="shared" si="55"/>
        <v/>
      </c>
      <c r="K1824" s="24" t="str">
        <f t="shared" si="56"/>
        <v/>
      </c>
    </row>
    <row r="1825" spans="1:11">
      <c r="A1825" s="35"/>
      <c r="B1825" s="24">
        <v>11</v>
      </c>
      <c r="C1825" s="23"/>
      <c r="D1825" s="23"/>
      <c r="E1825" s="24"/>
      <c r="F1825" s="24"/>
      <c r="G1825" s="24"/>
      <c r="H1825" s="24"/>
      <c r="I1825" s="24"/>
      <c r="J1825" s="24" t="str">
        <f t="shared" si="55"/>
        <v/>
      </c>
      <c r="K1825" s="24" t="str">
        <f t="shared" si="56"/>
        <v/>
      </c>
    </row>
    <row r="1826" spans="1:11">
      <c r="A1826" s="35"/>
      <c r="B1826" s="24">
        <v>12</v>
      </c>
      <c r="C1826" s="23"/>
      <c r="D1826" s="23"/>
      <c r="E1826" s="24"/>
      <c r="F1826" s="24"/>
      <c r="G1826" s="24"/>
      <c r="H1826" s="24"/>
      <c r="I1826" s="24"/>
      <c r="J1826" s="24" t="str">
        <f t="shared" si="55"/>
        <v/>
      </c>
      <c r="K1826" s="24" t="str">
        <f t="shared" si="56"/>
        <v/>
      </c>
    </row>
    <row r="1827" spans="1:11">
      <c r="A1827" s="35"/>
      <c r="B1827" s="24">
        <v>13</v>
      </c>
      <c r="C1827" s="23"/>
      <c r="D1827" s="23"/>
      <c r="E1827" s="24"/>
      <c r="F1827" s="24"/>
      <c r="G1827" s="24"/>
      <c r="H1827" s="24"/>
      <c r="I1827" s="24"/>
      <c r="J1827" s="24" t="str">
        <f t="shared" si="55"/>
        <v/>
      </c>
      <c r="K1827" s="24" t="str">
        <f t="shared" si="56"/>
        <v/>
      </c>
    </row>
    <row r="1828" spans="1:11">
      <c r="A1828" s="35"/>
      <c r="B1828" s="24">
        <v>14</v>
      </c>
      <c r="C1828" s="23"/>
      <c r="D1828" s="23"/>
      <c r="E1828" s="24"/>
      <c r="F1828" s="24"/>
      <c r="G1828" s="24"/>
      <c r="H1828" s="24"/>
      <c r="I1828" s="24"/>
      <c r="J1828" s="24" t="str">
        <f t="shared" si="55"/>
        <v/>
      </c>
      <c r="K1828" s="24" t="str">
        <f t="shared" si="56"/>
        <v/>
      </c>
    </row>
    <row r="1829" spans="1:11">
      <c r="A1829" s="35"/>
      <c r="B1829" s="24">
        <v>15</v>
      </c>
      <c r="C1829" s="23"/>
      <c r="D1829" s="23"/>
      <c r="E1829" s="24"/>
      <c r="F1829" s="24"/>
      <c r="G1829" s="24"/>
      <c r="H1829" s="24"/>
      <c r="I1829" s="24"/>
      <c r="J1829" s="24" t="str">
        <f t="shared" si="55"/>
        <v/>
      </c>
      <c r="K1829" s="24" t="str">
        <f t="shared" si="56"/>
        <v/>
      </c>
    </row>
    <row r="1830" spans="1:11">
      <c r="A1830" s="35"/>
      <c r="B1830" s="24">
        <v>16</v>
      </c>
      <c r="C1830" s="23"/>
      <c r="D1830" s="23"/>
      <c r="E1830" s="24"/>
      <c r="F1830" s="24"/>
      <c r="G1830" s="24"/>
      <c r="H1830" s="24"/>
      <c r="I1830" s="24"/>
      <c r="J1830" s="24" t="str">
        <f t="shared" si="55"/>
        <v/>
      </c>
      <c r="K1830" s="24" t="str">
        <f t="shared" si="56"/>
        <v/>
      </c>
    </row>
    <row r="1831" spans="1:11">
      <c r="A1831" s="35"/>
      <c r="B1831" s="24">
        <v>17</v>
      </c>
      <c r="C1831" s="23"/>
      <c r="D1831" s="23"/>
      <c r="E1831" s="24"/>
      <c r="F1831" s="24"/>
      <c r="G1831" s="24"/>
      <c r="H1831" s="24"/>
      <c r="I1831" s="24"/>
      <c r="J1831" s="24" t="str">
        <f t="shared" si="55"/>
        <v/>
      </c>
      <c r="K1831" s="24" t="str">
        <f t="shared" si="56"/>
        <v/>
      </c>
    </row>
    <row r="1832" spans="1:11">
      <c r="A1832" s="35"/>
      <c r="B1832" s="24">
        <v>18</v>
      </c>
      <c r="C1832" s="23"/>
      <c r="D1832" s="23"/>
      <c r="E1832" s="24"/>
      <c r="F1832" s="24"/>
      <c r="G1832" s="24"/>
      <c r="H1832" s="24"/>
      <c r="I1832" s="24"/>
      <c r="J1832" s="24" t="str">
        <f t="shared" si="55"/>
        <v/>
      </c>
      <c r="K1832" s="24" t="str">
        <f t="shared" si="56"/>
        <v/>
      </c>
    </row>
    <row r="1833" spans="1:11">
      <c r="A1833" s="35"/>
      <c r="B1833" s="24">
        <v>19</v>
      </c>
      <c r="C1833" s="23"/>
      <c r="D1833" s="23"/>
      <c r="E1833" s="24"/>
      <c r="F1833" s="24"/>
      <c r="G1833" s="24"/>
      <c r="H1833" s="24"/>
      <c r="I1833" s="24"/>
      <c r="J1833" s="24" t="str">
        <f t="shared" si="55"/>
        <v/>
      </c>
      <c r="K1833" s="24" t="str">
        <f t="shared" si="56"/>
        <v/>
      </c>
    </row>
    <row r="1834" spans="1:11">
      <c r="A1834" s="35"/>
      <c r="B1834" s="24">
        <v>20</v>
      </c>
      <c r="C1834" s="23"/>
      <c r="D1834" s="23"/>
      <c r="E1834" s="24"/>
      <c r="F1834" s="24"/>
      <c r="G1834" s="24"/>
      <c r="H1834" s="24"/>
      <c r="I1834" s="24"/>
      <c r="J1834" s="24" t="str">
        <f t="shared" si="55"/>
        <v/>
      </c>
      <c r="K1834" s="24" t="str">
        <f t="shared" si="56"/>
        <v/>
      </c>
    </row>
    <row r="1835" spans="1:11">
      <c r="A1835" s="35"/>
      <c r="B1835" s="24">
        <v>21</v>
      </c>
      <c r="C1835" s="23"/>
      <c r="D1835" s="23"/>
      <c r="E1835" s="24"/>
      <c r="F1835" s="24"/>
      <c r="G1835" s="24"/>
      <c r="H1835" s="24"/>
      <c r="I1835" s="24"/>
      <c r="J1835" s="24" t="str">
        <f t="shared" si="55"/>
        <v/>
      </c>
      <c r="K1835" s="24" t="str">
        <f t="shared" si="56"/>
        <v/>
      </c>
    </row>
    <row r="1836" spans="1:11">
      <c r="A1836" s="35"/>
      <c r="B1836" s="24">
        <v>22</v>
      </c>
      <c r="C1836" s="23"/>
      <c r="D1836" s="23"/>
      <c r="E1836" s="24"/>
      <c r="F1836" s="24"/>
      <c r="G1836" s="24"/>
      <c r="H1836" s="24"/>
      <c r="I1836" s="24"/>
      <c r="J1836" s="24" t="str">
        <f t="shared" si="55"/>
        <v/>
      </c>
      <c r="K1836" s="24" t="str">
        <f t="shared" si="56"/>
        <v/>
      </c>
    </row>
    <row r="1837" spans="1:11">
      <c r="A1837" s="35"/>
      <c r="B1837" s="24">
        <v>23</v>
      </c>
      <c r="C1837" s="23"/>
      <c r="D1837" s="23"/>
      <c r="E1837" s="24"/>
      <c r="F1837" s="24"/>
      <c r="G1837" s="24"/>
      <c r="H1837" s="24"/>
      <c r="I1837" s="24"/>
      <c r="J1837" s="24" t="str">
        <f t="shared" si="55"/>
        <v/>
      </c>
      <c r="K1837" s="24" t="str">
        <f t="shared" si="56"/>
        <v/>
      </c>
    </row>
    <row r="1838" spans="1:11">
      <c r="A1838" s="35"/>
      <c r="B1838" s="24">
        <v>24</v>
      </c>
      <c r="C1838" s="23"/>
      <c r="D1838" s="23"/>
      <c r="E1838" s="24"/>
      <c r="F1838" s="24"/>
      <c r="G1838" s="24"/>
      <c r="H1838" s="24"/>
      <c r="I1838" s="24"/>
      <c r="J1838" s="24" t="str">
        <f t="shared" si="55"/>
        <v/>
      </c>
      <c r="K1838" s="24" t="str">
        <f t="shared" si="56"/>
        <v/>
      </c>
    </row>
    <row r="1839" spans="1:11">
      <c r="A1839" s="35"/>
      <c r="B1839" s="24">
        <v>25</v>
      </c>
      <c r="C1839" s="23"/>
      <c r="D1839" s="23"/>
      <c r="E1839" s="24"/>
      <c r="F1839" s="24"/>
      <c r="G1839" s="24"/>
      <c r="H1839" s="24"/>
      <c r="I1839" s="24"/>
      <c r="J1839" s="24" t="str">
        <f t="shared" si="55"/>
        <v/>
      </c>
      <c r="K1839" s="24" t="str">
        <f t="shared" si="56"/>
        <v/>
      </c>
    </row>
    <row r="1840" spans="1:11">
      <c r="A1840" s="35"/>
      <c r="B1840" s="24">
        <v>26</v>
      </c>
      <c r="C1840" s="23"/>
      <c r="D1840" s="23"/>
      <c r="E1840" s="24"/>
      <c r="F1840" s="24"/>
      <c r="G1840" s="24"/>
      <c r="H1840" s="24"/>
      <c r="I1840" s="24"/>
      <c r="J1840" s="24" t="str">
        <f t="shared" si="55"/>
        <v/>
      </c>
      <c r="K1840" s="24" t="str">
        <f t="shared" si="56"/>
        <v/>
      </c>
    </row>
    <row r="1841" spans="1:11">
      <c r="A1841" s="35"/>
      <c r="B1841" s="24">
        <v>27</v>
      </c>
      <c r="C1841" s="23"/>
      <c r="D1841" s="23"/>
      <c r="E1841" s="24"/>
      <c r="F1841" s="24"/>
      <c r="G1841" s="24"/>
      <c r="H1841" s="24"/>
      <c r="I1841" s="24"/>
      <c r="J1841" s="24" t="str">
        <f t="shared" si="55"/>
        <v/>
      </c>
      <c r="K1841" s="24" t="str">
        <f t="shared" si="56"/>
        <v/>
      </c>
    </row>
    <row r="1842" spans="1:11">
      <c r="A1842" s="35"/>
      <c r="B1842" s="24">
        <v>28</v>
      </c>
      <c r="C1842" s="23"/>
      <c r="D1842" s="23"/>
      <c r="E1842" s="24"/>
      <c r="F1842" s="24"/>
      <c r="G1842" s="24"/>
      <c r="H1842" s="24"/>
      <c r="I1842" s="24"/>
      <c r="J1842" s="24" t="str">
        <f t="shared" si="55"/>
        <v/>
      </c>
      <c r="K1842" s="24" t="str">
        <f t="shared" si="56"/>
        <v/>
      </c>
    </row>
    <row r="1843" spans="1:11">
      <c r="A1843" s="35"/>
      <c r="B1843" s="24">
        <v>29</v>
      </c>
      <c r="C1843" s="23"/>
      <c r="D1843" s="23"/>
      <c r="E1843" s="24"/>
      <c r="F1843" s="24"/>
      <c r="G1843" s="24"/>
      <c r="H1843" s="24"/>
      <c r="I1843" s="24"/>
      <c r="J1843" s="24" t="str">
        <f t="shared" si="55"/>
        <v/>
      </c>
      <c r="K1843" s="24" t="str">
        <f t="shared" si="56"/>
        <v/>
      </c>
    </row>
    <row r="1844" spans="1:11">
      <c r="A1844" s="35"/>
      <c r="B1844" s="24">
        <v>30</v>
      </c>
      <c r="C1844" s="23"/>
      <c r="D1844" s="23"/>
      <c r="E1844" s="24"/>
      <c r="F1844" s="24"/>
      <c r="G1844" s="24"/>
      <c r="H1844" s="24"/>
      <c r="I1844" s="24"/>
      <c r="J1844" s="24" t="str">
        <f t="shared" si="55"/>
        <v/>
      </c>
      <c r="K1844" s="24" t="str">
        <f t="shared" si="56"/>
        <v/>
      </c>
    </row>
    <row r="1845" spans="1:11">
      <c r="A1845" s="35"/>
      <c r="B1845" s="24">
        <v>31</v>
      </c>
      <c r="C1845" s="23"/>
      <c r="D1845" s="23"/>
      <c r="E1845" s="24"/>
      <c r="F1845" s="24"/>
      <c r="G1845" s="24"/>
      <c r="H1845" s="24"/>
      <c r="I1845" s="24"/>
      <c r="J1845" s="24" t="str">
        <f t="shared" si="55"/>
        <v/>
      </c>
      <c r="K1845" s="24" t="str">
        <f t="shared" si="56"/>
        <v/>
      </c>
    </row>
    <row r="1846" spans="1:11">
      <c r="A1846" s="35"/>
      <c r="B1846" s="24">
        <v>32</v>
      </c>
      <c r="C1846" s="23"/>
      <c r="D1846" s="23"/>
      <c r="E1846" s="24"/>
      <c r="F1846" s="24"/>
      <c r="G1846" s="24"/>
      <c r="H1846" s="24"/>
      <c r="I1846" s="24"/>
      <c r="J1846" s="24" t="str">
        <f t="shared" si="55"/>
        <v/>
      </c>
      <c r="K1846" s="24" t="str">
        <f t="shared" si="56"/>
        <v/>
      </c>
    </row>
    <row r="1847" spans="1:11">
      <c r="A1847" s="35"/>
      <c r="B1847" s="24">
        <v>33</v>
      </c>
      <c r="C1847" s="23"/>
      <c r="D1847" s="23"/>
      <c r="E1847" s="24"/>
      <c r="F1847" s="24"/>
      <c r="G1847" s="24"/>
      <c r="H1847" s="24"/>
      <c r="I1847" s="24"/>
      <c r="J1847" s="24" t="str">
        <f t="shared" si="55"/>
        <v/>
      </c>
      <c r="K1847" s="24" t="str">
        <f t="shared" si="56"/>
        <v/>
      </c>
    </row>
    <row r="1848" spans="1:11">
      <c r="A1848" s="35"/>
      <c r="B1848" s="24">
        <v>34</v>
      </c>
      <c r="C1848" s="23"/>
      <c r="D1848" s="23"/>
      <c r="E1848" s="24"/>
      <c r="F1848" s="24"/>
      <c r="G1848" s="24"/>
      <c r="H1848" s="24"/>
      <c r="I1848" s="24"/>
      <c r="J1848" s="24" t="str">
        <f t="shared" si="55"/>
        <v/>
      </c>
      <c r="K1848" s="24" t="str">
        <f t="shared" si="56"/>
        <v/>
      </c>
    </row>
    <row r="1849" spans="1:11">
      <c r="A1849" s="35"/>
      <c r="B1849" s="24">
        <v>35</v>
      </c>
      <c r="C1849" s="23"/>
      <c r="D1849" s="23"/>
      <c r="E1849" s="24"/>
      <c r="F1849" s="24"/>
      <c r="G1849" s="24"/>
      <c r="H1849" s="24"/>
      <c r="I1849" s="24"/>
      <c r="J1849" s="24" t="str">
        <f t="shared" si="55"/>
        <v/>
      </c>
      <c r="K1849" s="24" t="str">
        <f t="shared" si="56"/>
        <v/>
      </c>
    </row>
    <row r="1850" spans="1:11">
      <c r="A1850" s="35"/>
      <c r="B1850" s="24">
        <v>36</v>
      </c>
      <c r="C1850" s="23"/>
      <c r="D1850" s="23"/>
      <c r="E1850" s="24"/>
      <c r="F1850" s="24"/>
      <c r="G1850" s="24"/>
      <c r="H1850" s="24"/>
      <c r="I1850" s="24"/>
      <c r="J1850" s="24" t="str">
        <f t="shared" si="55"/>
        <v/>
      </c>
      <c r="K1850" s="24" t="str">
        <f t="shared" si="56"/>
        <v/>
      </c>
    </row>
    <row r="1851" spans="1:11">
      <c r="A1851" s="35"/>
      <c r="B1851" s="24">
        <v>37</v>
      </c>
      <c r="C1851" s="23"/>
      <c r="D1851" s="23"/>
      <c r="E1851" s="24"/>
      <c r="F1851" s="24"/>
      <c r="G1851" s="24"/>
      <c r="H1851" s="24"/>
      <c r="I1851" s="24"/>
      <c r="J1851" s="24" t="str">
        <f t="shared" si="55"/>
        <v/>
      </c>
      <c r="K1851" s="24" t="str">
        <f t="shared" si="56"/>
        <v/>
      </c>
    </row>
    <row r="1852" spans="1:11">
      <c r="A1852" s="35"/>
      <c r="B1852" s="24">
        <v>38</v>
      </c>
      <c r="C1852" s="23"/>
      <c r="D1852" s="23"/>
      <c r="E1852" s="24"/>
      <c r="F1852" s="24"/>
      <c r="G1852" s="24"/>
      <c r="H1852" s="24"/>
      <c r="I1852" s="24"/>
      <c r="J1852" s="24" t="str">
        <f t="shared" si="55"/>
        <v/>
      </c>
      <c r="K1852" s="24" t="str">
        <f t="shared" si="56"/>
        <v/>
      </c>
    </row>
    <row r="1853" spans="1:11">
      <c r="A1853" s="35"/>
      <c r="B1853" s="24">
        <v>39</v>
      </c>
      <c r="C1853" s="23"/>
      <c r="D1853" s="23"/>
      <c r="E1853" s="24"/>
      <c r="F1853" s="24"/>
      <c r="G1853" s="24"/>
      <c r="H1853" s="24"/>
      <c r="I1853" s="24"/>
      <c r="J1853" s="24" t="str">
        <f t="shared" si="55"/>
        <v/>
      </c>
      <c r="K1853" s="24" t="str">
        <f t="shared" si="56"/>
        <v/>
      </c>
    </row>
    <row r="1854" spans="1:11">
      <c r="A1854" s="35"/>
      <c r="B1854" s="24">
        <v>40</v>
      </c>
      <c r="C1854" s="23"/>
      <c r="D1854" s="23"/>
      <c r="E1854" s="24"/>
      <c r="F1854" s="24"/>
      <c r="G1854" s="24"/>
      <c r="H1854" s="24"/>
      <c r="I1854" s="24"/>
      <c r="J1854" s="24" t="str">
        <f t="shared" si="55"/>
        <v/>
      </c>
      <c r="K1854" s="24" t="str">
        <f t="shared" si="56"/>
        <v/>
      </c>
    </row>
    <row r="1855" spans="1:11">
      <c r="A1855" s="35"/>
      <c r="B1855" s="24">
        <v>41</v>
      </c>
      <c r="C1855" s="23"/>
      <c r="D1855" s="23"/>
      <c r="E1855" s="24"/>
      <c r="F1855" s="24"/>
      <c r="G1855" s="24"/>
      <c r="H1855" s="24"/>
      <c r="I1855" s="24"/>
      <c r="J1855" s="24" t="str">
        <f t="shared" si="55"/>
        <v/>
      </c>
      <c r="K1855" s="24" t="str">
        <f t="shared" si="56"/>
        <v/>
      </c>
    </row>
    <row r="1856" spans="1:11">
      <c r="A1856" s="35"/>
      <c r="B1856" s="24">
        <v>42</v>
      </c>
      <c r="C1856" s="23"/>
      <c r="D1856" s="23"/>
      <c r="E1856" s="24"/>
      <c r="F1856" s="24"/>
      <c r="G1856" s="24"/>
      <c r="H1856" s="24"/>
      <c r="I1856" s="24"/>
      <c r="J1856" s="24" t="str">
        <f t="shared" si="55"/>
        <v/>
      </c>
      <c r="K1856" s="24" t="str">
        <f t="shared" si="56"/>
        <v/>
      </c>
    </row>
    <row r="1857" spans="1:11">
      <c r="A1857" s="35"/>
      <c r="B1857" s="24">
        <v>43</v>
      </c>
      <c r="C1857" s="23"/>
      <c r="D1857" s="23"/>
      <c r="E1857" s="24"/>
      <c r="F1857" s="24"/>
      <c r="G1857" s="24"/>
      <c r="H1857" s="24"/>
      <c r="I1857" s="24"/>
      <c r="J1857" s="24" t="str">
        <f t="shared" si="55"/>
        <v/>
      </c>
      <c r="K1857" s="24" t="str">
        <f t="shared" si="56"/>
        <v/>
      </c>
    </row>
    <row r="1858" spans="1:11">
      <c r="A1858" s="35"/>
      <c r="B1858" s="24">
        <v>44</v>
      </c>
      <c r="C1858" s="23"/>
      <c r="D1858" s="23"/>
      <c r="E1858" s="24"/>
      <c r="F1858" s="24"/>
      <c r="G1858" s="24"/>
      <c r="H1858" s="24"/>
      <c r="I1858" s="24"/>
      <c r="J1858" s="24" t="str">
        <f t="shared" si="55"/>
        <v/>
      </c>
      <c r="K1858" s="24" t="str">
        <f t="shared" si="56"/>
        <v/>
      </c>
    </row>
    <row r="1859" spans="1:11">
      <c r="A1859" s="35"/>
      <c r="B1859" s="24">
        <v>45</v>
      </c>
      <c r="C1859" s="23"/>
      <c r="D1859" s="23"/>
      <c r="E1859" s="24"/>
      <c r="F1859" s="24"/>
      <c r="G1859" s="24"/>
      <c r="H1859" s="24"/>
      <c r="I1859" s="24"/>
      <c r="J1859" s="24" t="str">
        <f t="shared" si="55"/>
        <v/>
      </c>
      <c r="K1859" s="24" t="str">
        <f t="shared" si="56"/>
        <v/>
      </c>
    </row>
    <row r="1860" spans="1:11">
      <c r="A1860" s="35"/>
      <c r="B1860" s="24">
        <v>46</v>
      </c>
      <c r="C1860" s="23"/>
      <c r="D1860" s="23"/>
      <c r="E1860" s="24"/>
      <c r="F1860" s="24"/>
      <c r="G1860" s="24"/>
      <c r="H1860" s="24"/>
      <c r="I1860" s="24"/>
      <c r="J1860" s="24" t="str">
        <f t="shared" si="55"/>
        <v/>
      </c>
      <c r="K1860" s="24" t="str">
        <f t="shared" si="56"/>
        <v/>
      </c>
    </row>
    <row r="1861" spans="1:11">
      <c r="A1861" s="35"/>
      <c r="B1861" s="24">
        <v>47</v>
      </c>
      <c r="C1861" s="23"/>
      <c r="D1861" s="23"/>
      <c r="E1861" s="24"/>
      <c r="F1861" s="24"/>
      <c r="G1861" s="24"/>
      <c r="H1861" s="24"/>
      <c r="I1861" s="24"/>
      <c r="J1861" s="24" t="str">
        <f t="shared" si="55"/>
        <v/>
      </c>
      <c r="K1861" s="24" t="str">
        <f t="shared" si="56"/>
        <v/>
      </c>
    </row>
    <row r="1862" spans="1:11">
      <c r="A1862" s="35"/>
      <c r="B1862" s="24">
        <v>48</v>
      </c>
      <c r="C1862" s="23"/>
      <c r="D1862" s="23"/>
      <c r="E1862" s="24"/>
      <c r="F1862" s="24"/>
      <c r="G1862" s="24"/>
      <c r="H1862" s="24"/>
      <c r="I1862" s="24"/>
      <c r="J1862" s="24" t="str">
        <f t="shared" si="55"/>
        <v/>
      </c>
      <c r="K1862" s="24" t="str">
        <f t="shared" si="56"/>
        <v/>
      </c>
    </row>
    <row r="1863" spans="1:11">
      <c r="A1863" s="35"/>
      <c r="B1863" s="24">
        <v>49</v>
      </c>
      <c r="C1863" s="23"/>
      <c r="D1863" s="23"/>
      <c r="E1863" s="24"/>
      <c r="F1863" s="24"/>
      <c r="G1863" s="24"/>
      <c r="H1863" s="24"/>
      <c r="I1863" s="24"/>
      <c r="J1863" s="24" t="str">
        <f t="shared" si="55"/>
        <v/>
      </c>
      <c r="K1863" s="24" t="str">
        <f t="shared" si="56"/>
        <v/>
      </c>
    </row>
    <row r="1864" spans="1:11">
      <c r="A1864" s="35"/>
      <c r="B1864" s="24">
        <v>50</v>
      </c>
      <c r="C1864" s="23"/>
      <c r="D1864" s="23"/>
      <c r="E1864" s="24"/>
      <c r="F1864" s="24"/>
      <c r="G1864" s="24"/>
      <c r="H1864" s="24"/>
      <c r="I1864" s="24"/>
      <c r="J1864" s="24" t="str">
        <f t="shared" si="55"/>
        <v/>
      </c>
      <c r="K1864" s="24" t="str">
        <f t="shared" si="56"/>
        <v/>
      </c>
    </row>
    <row r="1865" spans="1:11">
      <c r="A1865" s="35"/>
      <c r="B1865" s="24">
        <v>51</v>
      </c>
      <c r="C1865" s="23"/>
      <c r="D1865" s="23"/>
      <c r="E1865" s="24"/>
      <c r="F1865" s="24"/>
      <c r="G1865" s="24"/>
      <c r="H1865" s="24"/>
      <c r="I1865" s="24"/>
      <c r="J1865" s="24" t="str">
        <f t="shared" si="55"/>
        <v/>
      </c>
      <c r="K1865" s="24" t="str">
        <f t="shared" si="56"/>
        <v/>
      </c>
    </row>
    <row r="1866" spans="1:11">
      <c r="A1866" s="35"/>
      <c r="B1866" s="24">
        <v>52</v>
      </c>
      <c r="C1866" s="23"/>
      <c r="D1866" s="23"/>
      <c r="E1866" s="24"/>
      <c r="F1866" s="24"/>
      <c r="G1866" s="24"/>
      <c r="H1866" s="24"/>
      <c r="I1866" s="24"/>
      <c r="J1866" s="24" t="str">
        <f t="shared" si="55"/>
        <v/>
      </c>
      <c r="K1866" s="24" t="str">
        <f t="shared" si="56"/>
        <v/>
      </c>
    </row>
    <row r="1867" spans="1:11">
      <c r="A1867" s="35"/>
      <c r="B1867" s="24">
        <v>53</v>
      </c>
      <c r="C1867" s="23"/>
      <c r="D1867" s="23"/>
      <c r="E1867" s="24"/>
      <c r="F1867" s="24"/>
      <c r="G1867" s="24"/>
      <c r="H1867" s="24"/>
      <c r="I1867" s="24"/>
      <c r="J1867" s="24" t="str">
        <f t="shared" si="55"/>
        <v/>
      </c>
      <c r="K1867" s="24" t="str">
        <f t="shared" si="56"/>
        <v/>
      </c>
    </row>
    <row r="1868" spans="1:11">
      <c r="A1868" s="35"/>
      <c r="B1868" s="24">
        <v>54</v>
      </c>
      <c r="C1868" s="23"/>
      <c r="D1868" s="23"/>
      <c r="E1868" s="24"/>
      <c r="F1868" s="24"/>
      <c r="G1868" s="24"/>
      <c r="H1868" s="24"/>
      <c r="I1868" s="24"/>
      <c r="J1868" s="24" t="str">
        <f t="shared" si="55"/>
        <v/>
      </c>
      <c r="K1868" s="24" t="str">
        <f t="shared" si="56"/>
        <v/>
      </c>
    </row>
    <row r="1869" spans="1:11">
      <c r="A1869" s="35"/>
      <c r="B1869" s="24">
        <v>55</v>
      </c>
      <c r="C1869" s="23"/>
      <c r="D1869" s="23"/>
      <c r="E1869" s="24"/>
      <c r="F1869" s="24"/>
      <c r="G1869" s="24"/>
      <c r="H1869" s="24"/>
      <c r="I1869" s="24"/>
      <c r="J1869" s="24" t="str">
        <f t="shared" si="55"/>
        <v/>
      </c>
      <c r="K1869" s="24" t="str">
        <f t="shared" si="56"/>
        <v/>
      </c>
    </row>
    <row r="1870" spans="1:11">
      <c r="A1870" s="35"/>
      <c r="B1870" s="24">
        <v>56</v>
      </c>
      <c r="C1870" s="23"/>
      <c r="D1870" s="23"/>
      <c r="E1870" s="24"/>
      <c r="F1870" s="24"/>
      <c r="G1870" s="24"/>
      <c r="H1870" s="24"/>
      <c r="I1870" s="24"/>
      <c r="J1870" s="24" t="str">
        <f t="shared" si="55"/>
        <v/>
      </c>
      <c r="K1870" s="24" t="str">
        <f t="shared" si="56"/>
        <v/>
      </c>
    </row>
    <row r="1871" spans="1:11">
      <c r="A1871" s="35"/>
      <c r="B1871" s="24">
        <v>57</v>
      </c>
      <c r="C1871" s="23"/>
      <c r="D1871" s="23"/>
      <c r="E1871" s="24"/>
      <c r="F1871" s="24"/>
      <c r="G1871" s="24"/>
      <c r="H1871" s="24"/>
      <c r="I1871" s="24"/>
      <c r="J1871" s="24" t="str">
        <f t="shared" si="55"/>
        <v/>
      </c>
      <c r="K1871" s="24" t="str">
        <f t="shared" si="56"/>
        <v/>
      </c>
    </row>
    <row r="1872" spans="1:11">
      <c r="A1872" s="35"/>
      <c r="B1872" s="24">
        <v>58</v>
      </c>
      <c r="C1872" s="23"/>
      <c r="D1872" s="23"/>
      <c r="E1872" s="24"/>
      <c r="F1872" s="24"/>
      <c r="G1872" s="24"/>
      <c r="H1872" s="24"/>
      <c r="I1872" s="24"/>
      <c r="J1872" s="24" t="str">
        <f t="shared" si="55"/>
        <v/>
      </c>
      <c r="K1872" s="24" t="str">
        <f t="shared" si="56"/>
        <v/>
      </c>
    </row>
    <row r="1873" spans="1:11">
      <c r="A1873" s="35"/>
      <c r="B1873" s="24">
        <v>59</v>
      </c>
      <c r="C1873" s="23"/>
      <c r="D1873" s="23"/>
      <c r="E1873" s="24"/>
      <c r="F1873" s="24"/>
      <c r="G1873" s="24"/>
      <c r="H1873" s="24"/>
      <c r="I1873" s="24"/>
      <c r="J1873" s="24" t="str">
        <f t="shared" si="55"/>
        <v/>
      </c>
      <c r="K1873" s="24" t="str">
        <f t="shared" si="56"/>
        <v/>
      </c>
    </row>
    <row r="1874" spans="1:11">
      <c r="A1874" s="35"/>
      <c r="B1874" s="24">
        <v>60</v>
      </c>
      <c r="C1874" s="23"/>
      <c r="D1874" s="23"/>
      <c r="E1874" s="24"/>
      <c r="F1874" s="24"/>
      <c r="G1874" s="24"/>
      <c r="H1874" s="24"/>
      <c r="I1874" s="24"/>
      <c r="J1874" s="24" t="str">
        <f t="shared" si="55"/>
        <v/>
      </c>
      <c r="K1874" s="24" t="str">
        <f t="shared" si="56"/>
        <v/>
      </c>
    </row>
    <row r="1875" spans="1:11">
      <c r="A1875" s="35"/>
      <c r="B1875" s="34"/>
      <c r="C1875" s="34"/>
      <c r="D1875" s="34"/>
      <c r="E1875" s="34"/>
      <c r="F1875" s="34"/>
      <c r="G1875" s="34"/>
      <c r="H1875" s="34"/>
      <c r="I1875" s="33" t="s">
        <v>31</v>
      </c>
      <c r="J1875" s="33"/>
      <c r="K1875" s="24">
        <f>SUM(K1815:K1874)</f>
        <v>0</v>
      </c>
    </row>
    <row r="1879" spans="1:11">
      <c r="A1879" s="23">
        <v>29</v>
      </c>
      <c r="B1879" s="23" t="s">
        <v>0</v>
      </c>
      <c r="C1879" s="28" t="str">
        <f>IF('Navigation and Summary'!$B$37="", "", 'Navigation and Summary'!$B$37)</f>
        <v/>
      </c>
      <c r="D1879" s="28"/>
      <c r="E1879" s="23" t="s">
        <v>37</v>
      </c>
      <c r="F1879" s="24" t="str">
        <f>IF('Navigation and Summary'!$C$37="", "", 'Navigation and Summary'!$C$37)</f>
        <v/>
      </c>
      <c r="G1879" s="23" t="s">
        <v>34</v>
      </c>
      <c r="H1879" s="24" t="str">
        <f>IF(C1879="", "", 'Navigation and Summary'!G$6)</f>
        <v/>
      </c>
    </row>
    <row r="1880" spans="1:11">
      <c r="A1880" s="35"/>
      <c r="B1880" s="35" t="s">
        <v>32</v>
      </c>
      <c r="C1880" s="35"/>
      <c r="D1880" s="35"/>
      <c r="E1880" s="35"/>
      <c r="F1880" s="35"/>
      <c r="G1880" s="35"/>
      <c r="H1880" s="35"/>
      <c r="I1880" s="23"/>
      <c r="J1880" s="23"/>
      <c r="K1880" s="23"/>
    </row>
    <row r="1881" spans="1:11" ht="28.5">
      <c r="A1881" s="35"/>
      <c r="B1881" s="25" t="s">
        <v>1</v>
      </c>
      <c r="C1881" s="25" t="s">
        <v>2</v>
      </c>
      <c r="D1881" s="25"/>
      <c r="E1881" s="25" t="s">
        <v>3</v>
      </c>
      <c r="F1881" s="25" t="s">
        <v>4</v>
      </c>
      <c r="G1881" s="25" t="s">
        <v>5</v>
      </c>
      <c r="H1881" s="25" t="s">
        <v>6</v>
      </c>
      <c r="I1881" s="25" t="s">
        <v>7</v>
      </c>
      <c r="J1881" s="25" t="s">
        <v>8</v>
      </c>
      <c r="K1881" s="25" t="s">
        <v>9</v>
      </c>
    </row>
    <row r="1882" spans="1:11">
      <c r="A1882" s="35"/>
      <c r="B1882" s="24">
        <v>1</v>
      </c>
      <c r="C1882" s="23"/>
      <c r="D1882" s="23"/>
      <c r="E1882" s="24"/>
      <c r="F1882" s="24"/>
      <c r="G1882" s="24"/>
      <c r="H1882" s="24"/>
      <c r="I1882" s="24"/>
      <c r="J1882" s="24" t="str">
        <f>IF(SUM(E1882:I1882)=0, "", SUM(E1882:I1882))</f>
        <v/>
      </c>
      <c r="K1882" s="24" t="str">
        <f xml:space="preserve"> IFERROR(IF(($F$1879-J1882)=0, 0, ($F$1879-J1882)),$F$1879)</f>
        <v/>
      </c>
    </row>
    <row r="1883" spans="1:11">
      <c r="A1883" s="35"/>
      <c r="B1883" s="24">
        <v>2</v>
      </c>
      <c r="C1883" s="23"/>
      <c r="D1883" s="23"/>
      <c r="E1883" s="24"/>
      <c r="F1883" s="24"/>
      <c r="G1883" s="24"/>
      <c r="H1883" s="24"/>
      <c r="I1883" s="24"/>
      <c r="J1883" s="24" t="str">
        <f t="shared" ref="J1883:J1941" si="57">IF(SUM(E1883:I1883)=0, "", SUM(E1883:I1883))</f>
        <v/>
      </c>
      <c r="K1883" s="24" t="str">
        <f t="shared" ref="K1883:K1941" si="58" xml:space="preserve"> IFERROR(IF(($F$1879-J1883)=0, 0, ($F$1879-J1883)),$F$1879)</f>
        <v/>
      </c>
    </row>
    <row r="1884" spans="1:11">
      <c r="A1884" s="35"/>
      <c r="B1884" s="24">
        <v>3</v>
      </c>
      <c r="C1884" s="23"/>
      <c r="D1884" s="23"/>
      <c r="E1884" s="24"/>
      <c r="F1884" s="24"/>
      <c r="G1884" s="24"/>
      <c r="H1884" s="24"/>
      <c r="I1884" s="24"/>
      <c r="J1884" s="24" t="str">
        <f t="shared" si="57"/>
        <v/>
      </c>
      <c r="K1884" s="24" t="str">
        <f t="shared" si="58"/>
        <v/>
      </c>
    </row>
    <row r="1885" spans="1:11">
      <c r="A1885" s="35"/>
      <c r="B1885" s="24">
        <v>4</v>
      </c>
      <c r="C1885" s="23"/>
      <c r="D1885" s="23"/>
      <c r="E1885" s="24"/>
      <c r="F1885" s="24"/>
      <c r="G1885" s="24"/>
      <c r="H1885" s="24"/>
      <c r="I1885" s="24"/>
      <c r="J1885" s="24" t="str">
        <f t="shared" si="57"/>
        <v/>
      </c>
      <c r="K1885" s="24" t="str">
        <f t="shared" si="58"/>
        <v/>
      </c>
    </row>
    <row r="1886" spans="1:11">
      <c r="A1886" s="35"/>
      <c r="B1886" s="24">
        <v>5</v>
      </c>
      <c r="C1886" s="23"/>
      <c r="D1886" s="23"/>
      <c r="E1886" s="24"/>
      <c r="F1886" s="24"/>
      <c r="G1886" s="24"/>
      <c r="H1886" s="24"/>
      <c r="I1886" s="24"/>
      <c r="J1886" s="24" t="str">
        <f t="shared" si="57"/>
        <v/>
      </c>
      <c r="K1886" s="24" t="str">
        <f t="shared" si="58"/>
        <v/>
      </c>
    </row>
    <row r="1887" spans="1:11">
      <c r="A1887" s="35"/>
      <c r="B1887" s="24">
        <v>6</v>
      </c>
      <c r="C1887" s="23"/>
      <c r="D1887" s="23"/>
      <c r="E1887" s="24"/>
      <c r="F1887" s="24"/>
      <c r="G1887" s="24"/>
      <c r="H1887" s="24"/>
      <c r="I1887" s="24"/>
      <c r="J1887" s="24" t="str">
        <f t="shared" si="57"/>
        <v/>
      </c>
      <c r="K1887" s="24" t="str">
        <f t="shared" si="58"/>
        <v/>
      </c>
    </row>
    <row r="1888" spans="1:11">
      <c r="A1888" s="35"/>
      <c r="B1888" s="24">
        <v>7</v>
      </c>
      <c r="C1888" s="23"/>
      <c r="D1888" s="23"/>
      <c r="E1888" s="24"/>
      <c r="F1888" s="24"/>
      <c r="G1888" s="24"/>
      <c r="H1888" s="24"/>
      <c r="I1888" s="24"/>
      <c r="J1888" s="24" t="str">
        <f t="shared" si="57"/>
        <v/>
      </c>
      <c r="K1888" s="24" t="str">
        <f t="shared" si="58"/>
        <v/>
      </c>
    </row>
    <row r="1889" spans="1:11">
      <c r="A1889" s="35"/>
      <c r="B1889" s="24">
        <v>8</v>
      </c>
      <c r="C1889" s="23"/>
      <c r="D1889" s="23"/>
      <c r="E1889" s="24"/>
      <c r="F1889" s="24"/>
      <c r="G1889" s="24"/>
      <c r="H1889" s="24"/>
      <c r="I1889" s="24"/>
      <c r="J1889" s="24" t="str">
        <f t="shared" si="57"/>
        <v/>
      </c>
      <c r="K1889" s="24" t="str">
        <f t="shared" si="58"/>
        <v/>
      </c>
    </row>
    <row r="1890" spans="1:11">
      <c r="A1890" s="35"/>
      <c r="B1890" s="24">
        <v>9</v>
      </c>
      <c r="C1890" s="23"/>
      <c r="D1890" s="23"/>
      <c r="E1890" s="24"/>
      <c r="F1890" s="24"/>
      <c r="G1890" s="24"/>
      <c r="H1890" s="24"/>
      <c r="I1890" s="24"/>
      <c r="J1890" s="24" t="str">
        <f t="shared" si="57"/>
        <v/>
      </c>
      <c r="K1890" s="24" t="str">
        <f t="shared" si="58"/>
        <v/>
      </c>
    </row>
    <row r="1891" spans="1:11">
      <c r="A1891" s="35"/>
      <c r="B1891" s="24">
        <v>10</v>
      </c>
      <c r="C1891" s="23"/>
      <c r="D1891" s="23"/>
      <c r="E1891" s="24"/>
      <c r="F1891" s="24"/>
      <c r="G1891" s="24"/>
      <c r="H1891" s="24"/>
      <c r="I1891" s="24"/>
      <c r="J1891" s="24" t="str">
        <f t="shared" si="57"/>
        <v/>
      </c>
      <c r="K1891" s="24" t="str">
        <f t="shared" si="58"/>
        <v/>
      </c>
    </row>
    <row r="1892" spans="1:11">
      <c r="A1892" s="35"/>
      <c r="B1892" s="24">
        <v>11</v>
      </c>
      <c r="C1892" s="23"/>
      <c r="D1892" s="23"/>
      <c r="E1892" s="24"/>
      <c r="F1892" s="24"/>
      <c r="G1892" s="24"/>
      <c r="H1892" s="24"/>
      <c r="I1892" s="24"/>
      <c r="J1892" s="24" t="str">
        <f t="shared" si="57"/>
        <v/>
      </c>
      <c r="K1892" s="24" t="str">
        <f t="shared" si="58"/>
        <v/>
      </c>
    </row>
    <row r="1893" spans="1:11">
      <c r="A1893" s="35"/>
      <c r="B1893" s="24">
        <v>12</v>
      </c>
      <c r="C1893" s="23"/>
      <c r="D1893" s="23"/>
      <c r="E1893" s="24"/>
      <c r="F1893" s="24"/>
      <c r="G1893" s="24"/>
      <c r="H1893" s="24"/>
      <c r="I1893" s="24"/>
      <c r="J1893" s="24" t="str">
        <f t="shared" si="57"/>
        <v/>
      </c>
      <c r="K1893" s="24" t="str">
        <f t="shared" si="58"/>
        <v/>
      </c>
    </row>
    <row r="1894" spans="1:11">
      <c r="A1894" s="35"/>
      <c r="B1894" s="24">
        <v>13</v>
      </c>
      <c r="C1894" s="23"/>
      <c r="D1894" s="23"/>
      <c r="E1894" s="24"/>
      <c r="F1894" s="24"/>
      <c r="G1894" s="24"/>
      <c r="H1894" s="24"/>
      <c r="I1894" s="24"/>
      <c r="J1894" s="24" t="str">
        <f t="shared" si="57"/>
        <v/>
      </c>
      <c r="K1894" s="24" t="str">
        <f t="shared" si="58"/>
        <v/>
      </c>
    </row>
    <row r="1895" spans="1:11">
      <c r="A1895" s="35"/>
      <c r="B1895" s="24">
        <v>14</v>
      </c>
      <c r="C1895" s="23"/>
      <c r="D1895" s="23"/>
      <c r="E1895" s="24"/>
      <c r="F1895" s="24"/>
      <c r="G1895" s="24"/>
      <c r="H1895" s="24"/>
      <c r="I1895" s="24"/>
      <c r="J1895" s="24" t="str">
        <f t="shared" si="57"/>
        <v/>
      </c>
      <c r="K1895" s="24" t="str">
        <f t="shared" si="58"/>
        <v/>
      </c>
    </row>
    <row r="1896" spans="1:11">
      <c r="A1896" s="35"/>
      <c r="B1896" s="24">
        <v>15</v>
      </c>
      <c r="C1896" s="23"/>
      <c r="D1896" s="23"/>
      <c r="E1896" s="24"/>
      <c r="F1896" s="24"/>
      <c r="G1896" s="24"/>
      <c r="H1896" s="24"/>
      <c r="I1896" s="24"/>
      <c r="J1896" s="24" t="str">
        <f t="shared" si="57"/>
        <v/>
      </c>
      <c r="K1896" s="24" t="str">
        <f t="shared" si="58"/>
        <v/>
      </c>
    </row>
    <row r="1897" spans="1:11">
      <c r="A1897" s="35"/>
      <c r="B1897" s="24">
        <v>16</v>
      </c>
      <c r="C1897" s="23"/>
      <c r="D1897" s="23"/>
      <c r="E1897" s="24"/>
      <c r="F1897" s="24"/>
      <c r="G1897" s="24"/>
      <c r="H1897" s="24"/>
      <c r="I1897" s="24"/>
      <c r="J1897" s="24" t="str">
        <f t="shared" si="57"/>
        <v/>
      </c>
      <c r="K1897" s="24" t="str">
        <f t="shared" si="58"/>
        <v/>
      </c>
    </row>
    <row r="1898" spans="1:11">
      <c r="A1898" s="35"/>
      <c r="B1898" s="24">
        <v>17</v>
      </c>
      <c r="C1898" s="23"/>
      <c r="D1898" s="23"/>
      <c r="E1898" s="24"/>
      <c r="F1898" s="24"/>
      <c r="G1898" s="24"/>
      <c r="H1898" s="24"/>
      <c r="I1898" s="24"/>
      <c r="J1898" s="24" t="str">
        <f t="shared" si="57"/>
        <v/>
      </c>
      <c r="K1898" s="24" t="str">
        <f t="shared" si="58"/>
        <v/>
      </c>
    </row>
    <row r="1899" spans="1:11">
      <c r="A1899" s="35"/>
      <c r="B1899" s="24">
        <v>18</v>
      </c>
      <c r="C1899" s="23"/>
      <c r="D1899" s="23"/>
      <c r="E1899" s="24"/>
      <c r="F1899" s="24"/>
      <c r="G1899" s="24"/>
      <c r="H1899" s="24"/>
      <c r="I1899" s="24"/>
      <c r="J1899" s="24" t="str">
        <f t="shared" si="57"/>
        <v/>
      </c>
      <c r="K1899" s="24" t="str">
        <f t="shared" si="58"/>
        <v/>
      </c>
    </row>
    <row r="1900" spans="1:11">
      <c r="A1900" s="35"/>
      <c r="B1900" s="24">
        <v>19</v>
      </c>
      <c r="C1900" s="23"/>
      <c r="D1900" s="23"/>
      <c r="E1900" s="24"/>
      <c r="F1900" s="24"/>
      <c r="G1900" s="24"/>
      <c r="H1900" s="24"/>
      <c r="I1900" s="24"/>
      <c r="J1900" s="24" t="str">
        <f t="shared" si="57"/>
        <v/>
      </c>
      <c r="K1900" s="24" t="str">
        <f t="shared" si="58"/>
        <v/>
      </c>
    </row>
    <row r="1901" spans="1:11">
      <c r="A1901" s="35"/>
      <c r="B1901" s="24">
        <v>20</v>
      </c>
      <c r="C1901" s="23"/>
      <c r="D1901" s="23"/>
      <c r="E1901" s="24"/>
      <c r="F1901" s="24"/>
      <c r="G1901" s="24"/>
      <c r="H1901" s="24"/>
      <c r="I1901" s="24"/>
      <c r="J1901" s="24" t="str">
        <f t="shared" si="57"/>
        <v/>
      </c>
      <c r="K1901" s="24" t="str">
        <f t="shared" si="58"/>
        <v/>
      </c>
    </row>
    <row r="1902" spans="1:11">
      <c r="A1902" s="35"/>
      <c r="B1902" s="24">
        <v>21</v>
      </c>
      <c r="C1902" s="23"/>
      <c r="D1902" s="23"/>
      <c r="E1902" s="24"/>
      <c r="F1902" s="24"/>
      <c r="G1902" s="24"/>
      <c r="H1902" s="24"/>
      <c r="I1902" s="24"/>
      <c r="J1902" s="24" t="str">
        <f t="shared" si="57"/>
        <v/>
      </c>
      <c r="K1902" s="24" t="str">
        <f t="shared" si="58"/>
        <v/>
      </c>
    </row>
    <row r="1903" spans="1:11">
      <c r="A1903" s="35"/>
      <c r="B1903" s="24">
        <v>22</v>
      </c>
      <c r="C1903" s="23"/>
      <c r="D1903" s="23"/>
      <c r="E1903" s="24"/>
      <c r="F1903" s="24"/>
      <c r="G1903" s="24"/>
      <c r="H1903" s="24"/>
      <c r="I1903" s="24"/>
      <c r="J1903" s="24" t="str">
        <f t="shared" si="57"/>
        <v/>
      </c>
      <c r="K1903" s="24" t="str">
        <f t="shared" si="58"/>
        <v/>
      </c>
    </row>
    <row r="1904" spans="1:11">
      <c r="A1904" s="35"/>
      <c r="B1904" s="24">
        <v>23</v>
      </c>
      <c r="C1904" s="23"/>
      <c r="D1904" s="23"/>
      <c r="E1904" s="24"/>
      <c r="F1904" s="24"/>
      <c r="G1904" s="24"/>
      <c r="H1904" s="24"/>
      <c r="I1904" s="24"/>
      <c r="J1904" s="24" t="str">
        <f t="shared" si="57"/>
        <v/>
      </c>
      <c r="K1904" s="24" t="str">
        <f t="shared" si="58"/>
        <v/>
      </c>
    </row>
    <row r="1905" spans="1:11">
      <c r="A1905" s="35"/>
      <c r="B1905" s="24">
        <v>24</v>
      </c>
      <c r="C1905" s="23"/>
      <c r="D1905" s="23"/>
      <c r="E1905" s="24"/>
      <c r="F1905" s="24"/>
      <c r="G1905" s="24"/>
      <c r="H1905" s="24"/>
      <c r="I1905" s="24"/>
      <c r="J1905" s="24" t="str">
        <f t="shared" si="57"/>
        <v/>
      </c>
      <c r="K1905" s="24" t="str">
        <f t="shared" si="58"/>
        <v/>
      </c>
    </row>
    <row r="1906" spans="1:11">
      <c r="A1906" s="35"/>
      <c r="B1906" s="24">
        <v>25</v>
      </c>
      <c r="C1906" s="23"/>
      <c r="D1906" s="23"/>
      <c r="E1906" s="24"/>
      <c r="F1906" s="24"/>
      <c r="G1906" s="24"/>
      <c r="H1906" s="24"/>
      <c r="I1906" s="24"/>
      <c r="J1906" s="24" t="str">
        <f t="shared" si="57"/>
        <v/>
      </c>
      <c r="K1906" s="24" t="str">
        <f t="shared" si="58"/>
        <v/>
      </c>
    </row>
    <row r="1907" spans="1:11">
      <c r="A1907" s="35"/>
      <c r="B1907" s="24">
        <v>26</v>
      </c>
      <c r="C1907" s="23"/>
      <c r="D1907" s="23"/>
      <c r="E1907" s="24"/>
      <c r="F1907" s="24"/>
      <c r="G1907" s="24"/>
      <c r="H1907" s="24"/>
      <c r="I1907" s="24"/>
      <c r="J1907" s="24" t="str">
        <f t="shared" si="57"/>
        <v/>
      </c>
      <c r="K1907" s="24" t="str">
        <f t="shared" si="58"/>
        <v/>
      </c>
    </row>
    <row r="1908" spans="1:11">
      <c r="A1908" s="35"/>
      <c r="B1908" s="24">
        <v>27</v>
      </c>
      <c r="C1908" s="23"/>
      <c r="D1908" s="23"/>
      <c r="E1908" s="24"/>
      <c r="F1908" s="24"/>
      <c r="G1908" s="24"/>
      <c r="H1908" s="24"/>
      <c r="I1908" s="24"/>
      <c r="J1908" s="24" t="str">
        <f t="shared" si="57"/>
        <v/>
      </c>
      <c r="K1908" s="24" t="str">
        <f t="shared" si="58"/>
        <v/>
      </c>
    </row>
    <row r="1909" spans="1:11">
      <c r="A1909" s="35"/>
      <c r="B1909" s="24">
        <v>28</v>
      </c>
      <c r="C1909" s="23"/>
      <c r="D1909" s="23"/>
      <c r="E1909" s="24"/>
      <c r="F1909" s="24"/>
      <c r="G1909" s="24"/>
      <c r="H1909" s="24"/>
      <c r="I1909" s="24"/>
      <c r="J1909" s="24" t="str">
        <f t="shared" si="57"/>
        <v/>
      </c>
      <c r="K1909" s="24" t="str">
        <f t="shared" si="58"/>
        <v/>
      </c>
    </row>
    <row r="1910" spans="1:11">
      <c r="A1910" s="35"/>
      <c r="B1910" s="24">
        <v>29</v>
      </c>
      <c r="C1910" s="23"/>
      <c r="D1910" s="23"/>
      <c r="E1910" s="24"/>
      <c r="F1910" s="24"/>
      <c r="G1910" s="24"/>
      <c r="H1910" s="24"/>
      <c r="I1910" s="24"/>
      <c r="J1910" s="24" t="str">
        <f t="shared" si="57"/>
        <v/>
      </c>
      <c r="K1910" s="24" t="str">
        <f t="shared" si="58"/>
        <v/>
      </c>
    </row>
    <row r="1911" spans="1:11">
      <c r="A1911" s="35"/>
      <c r="B1911" s="24">
        <v>30</v>
      </c>
      <c r="C1911" s="23"/>
      <c r="D1911" s="23"/>
      <c r="E1911" s="24"/>
      <c r="F1911" s="24"/>
      <c r="G1911" s="24"/>
      <c r="H1911" s="24"/>
      <c r="I1911" s="24"/>
      <c r="J1911" s="24" t="str">
        <f t="shared" si="57"/>
        <v/>
      </c>
      <c r="K1911" s="24" t="str">
        <f t="shared" si="58"/>
        <v/>
      </c>
    </row>
    <row r="1912" spans="1:11">
      <c r="A1912" s="35"/>
      <c r="B1912" s="24">
        <v>31</v>
      </c>
      <c r="C1912" s="23"/>
      <c r="D1912" s="23"/>
      <c r="E1912" s="24"/>
      <c r="F1912" s="24"/>
      <c r="G1912" s="24"/>
      <c r="H1912" s="24"/>
      <c r="I1912" s="24"/>
      <c r="J1912" s="24" t="str">
        <f t="shared" si="57"/>
        <v/>
      </c>
      <c r="K1912" s="24" t="str">
        <f t="shared" si="58"/>
        <v/>
      </c>
    </row>
    <row r="1913" spans="1:11">
      <c r="A1913" s="35"/>
      <c r="B1913" s="24">
        <v>32</v>
      </c>
      <c r="C1913" s="23"/>
      <c r="D1913" s="23"/>
      <c r="E1913" s="24"/>
      <c r="F1913" s="24"/>
      <c r="G1913" s="24"/>
      <c r="H1913" s="24"/>
      <c r="I1913" s="24"/>
      <c r="J1913" s="24" t="str">
        <f t="shared" si="57"/>
        <v/>
      </c>
      <c r="K1913" s="24" t="str">
        <f t="shared" si="58"/>
        <v/>
      </c>
    </row>
    <row r="1914" spans="1:11">
      <c r="A1914" s="35"/>
      <c r="B1914" s="24">
        <v>33</v>
      </c>
      <c r="C1914" s="23"/>
      <c r="D1914" s="23"/>
      <c r="E1914" s="24"/>
      <c r="F1914" s="24"/>
      <c r="G1914" s="24"/>
      <c r="H1914" s="24"/>
      <c r="I1914" s="24"/>
      <c r="J1914" s="24" t="str">
        <f t="shared" si="57"/>
        <v/>
      </c>
      <c r="K1914" s="24" t="str">
        <f t="shared" si="58"/>
        <v/>
      </c>
    </row>
    <row r="1915" spans="1:11">
      <c r="A1915" s="35"/>
      <c r="B1915" s="24">
        <v>34</v>
      </c>
      <c r="C1915" s="23"/>
      <c r="D1915" s="23"/>
      <c r="E1915" s="24"/>
      <c r="F1915" s="24"/>
      <c r="G1915" s="24"/>
      <c r="H1915" s="24"/>
      <c r="I1915" s="24"/>
      <c r="J1915" s="24" t="str">
        <f t="shared" si="57"/>
        <v/>
      </c>
      <c r="K1915" s="24" t="str">
        <f t="shared" si="58"/>
        <v/>
      </c>
    </row>
    <row r="1916" spans="1:11">
      <c r="A1916" s="35"/>
      <c r="B1916" s="24">
        <v>35</v>
      </c>
      <c r="C1916" s="23"/>
      <c r="D1916" s="23"/>
      <c r="E1916" s="24"/>
      <c r="F1916" s="24"/>
      <c r="G1916" s="24"/>
      <c r="H1916" s="24"/>
      <c r="I1916" s="24"/>
      <c r="J1916" s="24" t="str">
        <f t="shared" si="57"/>
        <v/>
      </c>
      <c r="K1916" s="24" t="str">
        <f t="shared" si="58"/>
        <v/>
      </c>
    </row>
    <row r="1917" spans="1:11">
      <c r="A1917" s="35"/>
      <c r="B1917" s="24">
        <v>36</v>
      </c>
      <c r="C1917" s="23"/>
      <c r="D1917" s="23"/>
      <c r="E1917" s="24"/>
      <c r="F1917" s="24"/>
      <c r="G1917" s="24"/>
      <c r="H1917" s="24"/>
      <c r="I1917" s="24"/>
      <c r="J1917" s="24" t="str">
        <f t="shared" si="57"/>
        <v/>
      </c>
      <c r="K1917" s="24" t="str">
        <f t="shared" si="58"/>
        <v/>
      </c>
    </row>
    <row r="1918" spans="1:11">
      <c r="A1918" s="35"/>
      <c r="B1918" s="24">
        <v>37</v>
      </c>
      <c r="C1918" s="23"/>
      <c r="D1918" s="23"/>
      <c r="E1918" s="24"/>
      <c r="F1918" s="24"/>
      <c r="G1918" s="24"/>
      <c r="H1918" s="24"/>
      <c r="I1918" s="24"/>
      <c r="J1918" s="24" t="str">
        <f t="shared" si="57"/>
        <v/>
      </c>
      <c r="K1918" s="24" t="str">
        <f t="shared" si="58"/>
        <v/>
      </c>
    </row>
    <row r="1919" spans="1:11">
      <c r="A1919" s="35"/>
      <c r="B1919" s="24">
        <v>38</v>
      </c>
      <c r="C1919" s="23"/>
      <c r="D1919" s="23"/>
      <c r="E1919" s="24"/>
      <c r="F1919" s="24"/>
      <c r="G1919" s="24"/>
      <c r="H1919" s="24"/>
      <c r="I1919" s="24"/>
      <c r="J1919" s="24" t="str">
        <f t="shared" si="57"/>
        <v/>
      </c>
      <c r="K1919" s="24" t="str">
        <f t="shared" si="58"/>
        <v/>
      </c>
    </row>
    <row r="1920" spans="1:11">
      <c r="A1920" s="35"/>
      <c r="B1920" s="24">
        <v>39</v>
      </c>
      <c r="C1920" s="23"/>
      <c r="D1920" s="23"/>
      <c r="E1920" s="24"/>
      <c r="F1920" s="24"/>
      <c r="G1920" s="24"/>
      <c r="H1920" s="24"/>
      <c r="I1920" s="24"/>
      <c r="J1920" s="24" t="str">
        <f t="shared" si="57"/>
        <v/>
      </c>
      <c r="K1920" s="24" t="str">
        <f t="shared" si="58"/>
        <v/>
      </c>
    </row>
    <row r="1921" spans="1:11">
      <c r="A1921" s="35"/>
      <c r="B1921" s="24">
        <v>40</v>
      </c>
      <c r="C1921" s="23"/>
      <c r="D1921" s="23"/>
      <c r="E1921" s="24"/>
      <c r="F1921" s="24"/>
      <c r="G1921" s="24"/>
      <c r="H1921" s="24"/>
      <c r="I1921" s="24"/>
      <c r="J1921" s="24" t="str">
        <f t="shared" si="57"/>
        <v/>
      </c>
      <c r="K1921" s="24" t="str">
        <f t="shared" si="58"/>
        <v/>
      </c>
    </row>
    <row r="1922" spans="1:11">
      <c r="A1922" s="35"/>
      <c r="B1922" s="24">
        <v>41</v>
      </c>
      <c r="C1922" s="23"/>
      <c r="D1922" s="23"/>
      <c r="E1922" s="24"/>
      <c r="F1922" s="24"/>
      <c r="G1922" s="24"/>
      <c r="H1922" s="24"/>
      <c r="I1922" s="24"/>
      <c r="J1922" s="24" t="str">
        <f t="shared" si="57"/>
        <v/>
      </c>
      <c r="K1922" s="24" t="str">
        <f t="shared" si="58"/>
        <v/>
      </c>
    </row>
    <row r="1923" spans="1:11">
      <c r="A1923" s="35"/>
      <c r="B1923" s="24">
        <v>42</v>
      </c>
      <c r="C1923" s="23"/>
      <c r="D1923" s="23"/>
      <c r="E1923" s="24"/>
      <c r="F1923" s="24"/>
      <c r="G1923" s="24"/>
      <c r="H1923" s="24"/>
      <c r="I1923" s="24"/>
      <c r="J1923" s="24" t="str">
        <f t="shared" si="57"/>
        <v/>
      </c>
      <c r="K1923" s="24" t="str">
        <f t="shared" si="58"/>
        <v/>
      </c>
    </row>
    <row r="1924" spans="1:11">
      <c r="A1924" s="35"/>
      <c r="B1924" s="24">
        <v>43</v>
      </c>
      <c r="C1924" s="23"/>
      <c r="D1924" s="23"/>
      <c r="E1924" s="24"/>
      <c r="F1924" s="24"/>
      <c r="G1924" s="24"/>
      <c r="H1924" s="24"/>
      <c r="I1924" s="24"/>
      <c r="J1924" s="24" t="str">
        <f t="shared" si="57"/>
        <v/>
      </c>
      <c r="K1924" s="24" t="str">
        <f t="shared" si="58"/>
        <v/>
      </c>
    </row>
    <row r="1925" spans="1:11">
      <c r="A1925" s="35"/>
      <c r="B1925" s="24">
        <v>44</v>
      </c>
      <c r="C1925" s="23"/>
      <c r="D1925" s="23"/>
      <c r="E1925" s="24"/>
      <c r="F1925" s="24"/>
      <c r="G1925" s="24"/>
      <c r="H1925" s="24"/>
      <c r="I1925" s="24"/>
      <c r="J1925" s="24" t="str">
        <f t="shared" si="57"/>
        <v/>
      </c>
      <c r="K1925" s="24" t="str">
        <f t="shared" si="58"/>
        <v/>
      </c>
    </row>
    <row r="1926" spans="1:11">
      <c r="A1926" s="35"/>
      <c r="B1926" s="24">
        <v>45</v>
      </c>
      <c r="C1926" s="23"/>
      <c r="D1926" s="23"/>
      <c r="E1926" s="24"/>
      <c r="F1926" s="24"/>
      <c r="G1926" s="24"/>
      <c r="H1926" s="24"/>
      <c r="I1926" s="24"/>
      <c r="J1926" s="24" t="str">
        <f t="shared" si="57"/>
        <v/>
      </c>
      <c r="K1926" s="24" t="str">
        <f t="shared" si="58"/>
        <v/>
      </c>
    </row>
    <row r="1927" spans="1:11">
      <c r="A1927" s="35"/>
      <c r="B1927" s="24">
        <v>46</v>
      </c>
      <c r="C1927" s="23"/>
      <c r="D1927" s="23"/>
      <c r="E1927" s="24"/>
      <c r="F1927" s="24"/>
      <c r="G1927" s="24"/>
      <c r="H1927" s="24"/>
      <c r="I1927" s="24"/>
      <c r="J1927" s="24" t="str">
        <f t="shared" si="57"/>
        <v/>
      </c>
      <c r="K1927" s="24" t="str">
        <f t="shared" si="58"/>
        <v/>
      </c>
    </row>
    <row r="1928" spans="1:11">
      <c r="A1928" s="35"/>
      <c r="B1928" s="24">
        <v>47</v>
      </c>
      <c r="C1928" s="23"/>
      <c r="D1928" s="23"/>
      <c r="E1928" s="24"/>
      <c r="F1928" s="24"/>
      <c r="G1928" s="24"/>
      <c r="H1928" s="24"/>
      <c r="I1928" s="24"/>
      <c r="J1928" s="24" t="str">
        <f t="shared" si="57"/>
        <v/>
      </c>
      <c r="K1928" s="24" t="str">
        <f t="shared" si="58"/>
        <v/>
      </c>
    </row>
    <row r="1929" spans="1:11">
      <c r="A1929" s="35"/>
      <c r="B1929" s="24">
        <v>48</v>
      </c>
      <c r="C1929" s="23"/>
      <c r="D1929" s="23"/>
      <c r="E1929" s="24"/>
      <c r="F1929" s="24"/>
      <c r="G1929" s="24"/>
      <c r="H1929" s="24"/>
      <c r="I1929" s="24"/>
      <c r="J1929" s="24" t="str">
        <f t="shared" si="57"/>
        <v/>
      </c>
      <c r="K1929" s="24" t="str">
        <f t="shared" si="58"/>
        <v/>
      </c>
    </row>
    <row r="1930" spans="1:11">
      <c r="A1930" s="35"/>
      <c r="B1930" s="24">
        <v>49</v>
      </c>
      <c r="C1930" s="23"/>
      <c r="D1930" s="23"/>
      <c r="E1930" s="24"/>
      <c r="F1930" s="24"/>
      <c r="G1930" s="24"/>
      <c r="H1930" s="24"/>
      <c r="I1930" s="24"/>
      <c r="J1930" s="24" t="str">
        <f t="shared" si="57"/>
        <v/>
      </c>
      <c r="K1930" s="24" t="str">
        <f t="shared" si="58"/>
        <v/>
      </c>
    </row>
    <row r="1931" spans="1:11">
      <c r="A1931" s="35"/>
      <c r="B1931" s="24">
        <v>50</v>
      </c>
      <c r="C1931" s="23"/>
      <c r="D1931" s="23"/>
      <c r="E1931" s="24"/>
      <c r="F1931" s="24"/>
      <c r="G1931" s="24"/>
      <c r="H1931" s="24"/>
      <c r="I1931" s="24"/>
      <c r="J1931" s="24" t="str">
        <f t="shared" si="57"/>
        <v/>
      </c>
      <c r="K1931" s="24" t="str">
        <f t="shared" si="58"/>
        <v/>
      </c>
    </row>
    <row r="1932" spans="1:11">
      <c r="A1932" s="35"/>
      <c r="B1932" s="24">
        <v>51</v>
      </c>
      <c r="C1932" s="23"/>
      <c r="D1932" s="23"/>
      <c r="E1932" s="24"/>
      <c r="F1932" s="24"/>
      <c r="G1932" s="24"/>
      <c r="H1932" s="24"/>
      <c r="I1932" s="24"/>
      <c r="J1932" s="24" t="str">
        <f t="shared" si="57"/>
        <v/>
      </c>
      <c r="K1932" s="24" t="str">
        <f t="shared" si="58"/>
        <v/>
      </c>
    </row>
    <row r="1933" spans="1:11">
      <c r="A1933" s="35"/>
      <c r="B1933" s="24">
        <v>52</v>
      </c>
      <c r="C1933" s="23"/>
      <c r="D1933" s="23"/>
      <c r="E1933" s="24"/>
      <c r="F1933" s="24"/>
      <c r="G1933" s="24"/>
      <c r="H1933" s="24"/>
      <c r="I1933" s="24"/>
      <c r="J1933" s="24" t="str">
        <f t="shared" si="57"/>
        <v/>
      </c>
      <c r="K1933" s="24" t="str">
        <f t="shared" si="58"/>
        <v/>
      </c>
    </row>
    <row r="1934" spans="1:11">
      <c r="A1934" s="35"/>
      <c r="B1934" s="24">
        <v>53</v>
      </c>
      <c r="C1934" s="23"/>
      <c r="D1934" s="23"/>
      <c r="E1934" s="24"/>
      <c r="F1934" s="24"/>
      <c r="G1934" s="24"/>
      <c r="H1934" s="24"/>
      <c r="I1934" s="24"/>
      <c r="J1934" s="24" t="str">
        <f t="shared" si="57"/>
        <v/>
      </c>
      <c r="K1934" s="24" t="str">
        <f t="shared" si="58"/>
        <v/>
      </c>
    </row>
    <row r="1935" spans="1:11">
      <c r="A1935" s="35"/>
      <c r="B1935" s="24">
        <v>54</v>
      </c>
      <c r="C1935" s="23"/>
      <c r="D1935" s="23"/>
      <c r="E1935" s="24"/>
      <c r="F1935" s="24"/>
      <c r="G1935" s="24"/>
      <c r="H1935" s="24"/>
      <c r="I1935" s="24"/>
      <c r="J1935" s="24" t="str">
        <f t="shared" si="57"/>
        <v/>
      </c>
      <c r="K1935" s="24" t="str">
        <f t="shared" si="58"/>
        <v/>
      </c>
    </row>
    <row r="1936" spans="1:11">
      <c r="A1936" s="35"/>
      <c r="B1936" s="24">
        <v>55</v>
      </c>
      <c r="C1936" s="23"/>
      <c r="D1936" s="23"/>
      <c r="E1936" s="24"/>
      <c r="F1936" s="24"/>
      <c r="G1936" s="24"/>
      <c r="H1936" s="24"/>
      <c r="I1936" s="24"/>
      <c r="J1936" s="24" t="str">
        <f t="shared" si="57"/>
        <v/>
      </c>
      <c r="K1936" s="24" t="str">
        <f t="shared" si="58"/>
        <v/>
      </c>
    </row>
    <row r="1937" spans="1:11">
      <c r="A1937" s="35"/>
      <c r="B1937" s="24">
        <v>56</v>
      </c>
      <c r="C1937" s="23"/>
      <c r="D1937" s="23"/>
      <c r="E1937" s="24"/>
      <c r="F1937" s="24"/>
      <c r="G1937" s="24"/>
      <c r="H1937" s="24"/>
      <c r="I1937" s="24"/>
      <c r="J1937" s="24" t="str">
        <f t="shared" si="57"/>
        <v/>
      </c>
      <c r="K1937" s="24" t="str">
        <f t="shared" si="58"/>
        <v/>
      </c>
    </row>
    <row r="1938" spans="1:11">
      <c r="A1938" s="35"/>
      <c r="B1938" s="24">
        <v>57</v>
      </c>
      <c r="C1938" s="23"/>
      <c r="D1938" s="23"/>
      <c r="E1938" s="24"/>
      <c r="F1938" s="24"/>
      <c r="G1938" s="24"/>
      <c r="H1938" s="24"/>
      <c r="I1938" s="24"/>
      <c r="J1938" s="24" t="str">
        <f t="shared" si="57"/>
        <v/>
      </c>
      <c r="K1938" s="24" t="str">
        <f t="shared" si="58"/>
        <v/>
      </c>
    </row>
    <row r="1939" spans="1:11">
      <c r="A1939" s="35"/>
      <c r="B1939" s="24">
        <v>58</v>
      </c>
      <c r="C1939" s="23"/>
      <c r="D1939" s="23"/>
      <c r="E1939" s="24"/>
      <c r="F1939" s="24"/>
      <c r="G1939" s="24"/>
      <c r="H1939" s="24"/>
      <c r="I1939" s="24"/>
      <c r="J1939" s="24" t="str">
        <f t="shared" si="57"/>
        <v/>
      </c>
      <c r="K1939" s="24" t="str">
        <f t="shared" si="58"/>
        <v/>
      </c>
    </row>
    <row r="1940" spans="1:11">
      <c r="A1940" s="35"/>
      <c r="B1940" s="24">
        <v>59</v>
      </c>
      <c r="C1940" s="23"/>
      <c r="D1940" s="23"/>
      <c r="E1940" s="24"/>
      <c r="F1940" s="24"/>
      <c r="G1940" s="24"/>
      <c r="H1940" s="24"/>
      <c r="I1940" s="24"/>
      <c r="J1940" s="24" t="str">
        <f t="shared" si="57"/>
        <v/>
      </c>
      <c r="K1940" s="24" t="str">
        <f t="shared" si="58"/>
        <v/>
      </c>
    </row>
    <row r="1941" spans="1:11">
      <c r="A1941" s="35"/>
      <c r="B1941" s="24">
        <v>60</v>
      </c>
      <c r="C1941" s="23"/>
      <c r="D1941" s="23"/>
      <c r="E1941" s="24"/>
      <c r="F1941" s="24"/>
      <c r="G1941" s="24"/>
      <c r="H1941" s="24"/>
      <c r="I1941" s="24"/>
      <c r="J1941" s="24" t="str">
        <f t="shared" si="57"/>
        <v/>
      </c>
      <c r="K1941" s="24" t="str">
        <f t="shared" si="58"/>
        <v/>
      </c>
    </row>
    <row r="1942" spans="1:11">
      <c r="A1942" s="35"/>
      <c r="B1942" s="34"/>
      <c r="C1942" s="34"/>
      <c r="D1942" s="34"/>
      <c r="E1942" s="34"/>
      <c r="F1942" s="34"/>
      <c r="G1942" s="34"/>
      <c r="H1942" s="34"/>
      <c r="I1942" s="33" t="s">
        <v>31</v>
      </c>
      <c r="J1942" s="33"/>
      <c r="K1942" s="24">
        <f>SUM(K1882:K1941)</f>
        <v>0</v>
      </c>
    </row>
    <row r="1943" spans="1:11">
      <c r="I1943" s="27"/>
      <c r="J1943" s="27"/>
      <c r="K1943" s="24"/>
    </row>
    <row r="1944" spans="1:11">
      <c r="I1944" s="27"/>
      <c r="J1944" s="27"/>
      <c r="K1944" s="24"/>
    </row>
    <row r="1946" spans="1:11">
      <c r="A1946" s="23">
        <v>30</v>
      </c>
      <c r="B1946" s="23" t="s">
        <v>0</v>
      </c>
      <c r="C1946" s="28" t="str">
        <f>IF('Navigation and Summary'!$B$38="", "", 'Navigation and Summary'!$B$38)</f>
        <v/>
      </c>
      <c r="D1946" s="28"/>
      <c r="E1946" s="23" t="s">
        <v>37</v>
      </c>
      <c r="F1946" s="24" t="str">
        <f>IF('Navigation and Summary'!$C$38="", "", 'Navigation and Summary'!$C$38)</f>
        <v/>
      </c>
      <c r="G1946" s="23" t="s">
        <v>34</v>
      </c>
      <c r="H1946" s="24" t="str">
        <f>IF(C1946="", "", 'Navigation and Summary'!$G$6)</f>
        <v/>
      </c>
    </row>
    <row r="1947" spans="1:11">
      <c r="A1947" s="35"/>
      <c r="B1947" s="35" t="s">
        <v>32</v>
      </c>
      <c r="C1947" s="35"/>
      <c r="D1947" s="35"/>
      <c r="E1947" s="35"/>
      <c r="F1947" s="35"/>
      <c r="G1947" s="35"/>
      <c r="H1947" s="35"/>
      <c r="I1947" s="23"/>
      <c r="J1947" s="23"/>
      <c r="K1947" s="23"/>
    </row>
    <row r="1948" spans="1:11" ht="28.5">
      <c r="A1948" s="35"/>
      <c r="B1948" s="25" t="s">
        <v>1</v>
      </c>
      <c r="C1948" s="25" t="s">
        <v>2</v>
      </c>
      <c r="D1948" s="25"/>
      <c r="E1948" s="25" t="s">
        <v>3</v>
      </c>
      <c r="F1948" s="25" t="s">
        <v>4</v>
      </c>
      <c r="G1948" s="25" t="s">
        <v>5</v>
      </c>
      <c r="H1948" s="25" t="s">
        <v>6</v>
      </c>
      <c r="I1948" s="25" t="s">
        <v>7</v>
      </c>
      <c r="J1948" s="25" t="s">
        <v>8</v>
      </c>
      <c r="K1948" s="25" t="s">
        <v>9</v>
      </c>
    </row>
    <row r="1949" spans="1:11">
      <c r="A1949" s="35"/>
      <c r="B1949" s="24">
        <v>1</v>
      </c>
      <c r="C1949" s="23"/>
      <c r="D1949" s="23"/>
      <c r="E1949" s="24"/>
      <c r="F1949" s="24"/>
      <c r="G1949" s="24"/>
      <c r="H1949" s="24"/>
      <c r="I1949" s="24"/>
      <c r="J1949" s="24" t="str">
        <f>IF(SUM(E1949:I1949)=0, "", SUM(E1949:I1949))</f>
        <v/>
      </c>
      <c r="K1949" s="24" t="str">
        <f xml:space="preserve"> IFERROR(IF(($F$1946-J1949)=0, 0, ($F$1946-J1949)),$F$1946)</f>
        <v/>
      </c>
    </row>
    <row r="1950" spans="1:11">
      <c r="A1950" s="35"/>
      <c r="B1950" s="24">
        <v>2</v>
      </c>
      <c r="C1950" s="23"/>
      <c r="D1950" s="23"/>
      <c r="E1950" s="24"/>
      <c r="F1950" s="24"/>
      <c r="G1950" s="24"/>
      <c r="H1950" s="24"/>
      <c r="I1950" s="24"/>
      <c r="J1950" s="24" t="str">
        <f t="shared" ref="J1950:J2008" si="59">IF(SUM(E1950:I1950)=0, "", SUM(E1950:I1950))</f>
        <v/>
      </c>
      <c r="K1950" s="24" t="str">
        <f t="shared" ref="K1950:K2008" si="60" xml:space="preserve"> IFERROR(IF(($F$1946-J1950)=0, 0, ($F$1946-J1950)),$F$1946)</f>
        <v/>
      </c>
    </row>
    <row r="1951" spans="1:11">
      <c r="A1951" s="35"/>
      <c r="B1951" s="24">
        <v>3</v>
      </c>
      <c r="C1951" s="23"/>
      <c r="D1951" s="23"/>
      <c r="E1951" s="24"/>
      <c r="F1951" s="24"/>
      <c r="G1951" s="24"/>
      <c r="H1951" s="24"/>
      <c r="I1951" s="24"/>
      <c r="J1951" s="24" t="str">
        <f t="shared" si="59"/>
        <v/>
      </c>
      <c r="K1951" s="24" t="str">
        <f t="shared" si="60"/>
        <v/>
      </c>
    </row>
    <row r="1952" spans="1:11">
      <c r="A1952" s="35"/>
      <c r="B1952" s="24">
        <v>4</v>
      </c>
      <c r="C1952" s="23"/>
      <c r="D1952" s="23"/>
      <c r="E1952" s="24"/>
      <c r="F1952" s="24"/>
      <c r="G1952" s="24"/>
      <c r="H1952" s="24"/>
      <c r="I1952" s="24"/>
      <c r="J1952" s="24" t="str">
        <f t="shared" si="59"/>
        <v/>
      </c>
      <c r="K1952" s="24" t="str">
        <f t="shared" si="60"/>
        <v/>
      </c>
    </row>
    <row r="1953" spans="1:11">
      <c r="A1953" s="35"/>
      <c r="B1953" s="24">
        <v>5</v>
      </c>
      <c r="C1953" s="23"/>
      <c r="D1953" s="23"/>
      <c r="E1953" s="24"/>
      <c r="F1953" s="24"/>
      <c r="G1953" s="24"/>
      <c r="H1953" s="24"/>
      <c r="I1953" s="24"/>
      <c r="J1953" s="24" t="str">
        <f t="shared" si="59"/>
        <v/>
      </c>
      <c r="K1953" s="24" t="str">
        <f t="shared" si="60"/>
        <v/>
      </c>
    </row>
    <row r="1954" spans="1:11">
      <c r="A1954" s="35"/>
      <c r="B1954" s="24">
        <v>6</v>
      </c>
      <c r="C1954" s="23"/>
      <c r="D1954" s="23"/>
      <c r="E1954" s="24"/>
      <c r="F1954" s="24"/>
      <c r="G1954" s="24"/>
      <c r="H1954" s="24"/>
      <c r="I1954" s="24"/>
      <c r="J1954" s="24" t="str">
        <f t="shared" si="59"/>
        <v/>
      </c>
      <c r="K1954" s="24" t="str">
        <f t="shared" si="60"/>
        <v/>
      </c>
    </row>
    <row r="1955" spans="1:11">
      <c r="A1955" s="35"/>
      <c r="B1955" s="24">
        <v>7</v>
      </c>
      <c r="C1955" s="23"/>
      <c r="D1955" s="23"/>
      <c r="E1955" s="24"/>
      <c r="F1955" s="24"/>
      <c r="G1955" s="24"/>
      <c r="H1955" s="24"/>
      <c r="I1955" s="24"/>
      <c r="J1955" s="24" t="str">
        <f t="shared" si="59"/>
        <v/>
      </c>
      <c r="K1955" s="24" t="str">
        <f t="shared" si="60"/>
        <v/>
      </c>
    </row>
    <row r="1956" spans="1:11">
      <c r="A1956" s="35"/>
      <c r="B1956" s="24">
        <v>8</v>
      </c>
      <c r="C1956" s="23"/>
      <c r="D1956" s="23"/>
      <c r="E1956" s="24"/>
      <c r="F1956" s="24"/>
      <c r="G1956" s="24"/>
      <c r="H1956" s="24"/>
      <c r="I1956" s="24"/>
      <c r="J1956" s="24" t="str">
        <f t="shared" si="59"/>
        <v/>
      </c>
      <c r="K1956" s="24" t="str">
        <f t="shared" si="60"/>
        <v/>
      </c>
    </row>
    <row r="1957" spans="1:11">
      <c r="A1957" s="35"/>
      <c r="B1957" s="24">
        <v>9</v>
      </c>
      <c r="C1957" s="23"/>
      <c r="D1957" s="23"/>
      <c r="E1957" s="24"/>
      <c r="F1957" s="24"/>
      <c r="G1957" s="24"/>
      <c r="H1957" s="24"/>
      <c r="I1957" s="24"/>
      <c r="J1957" s="24" t="str">
        <f t="shared" si="59"/>
        <v/>
      </c>
      <c r="K1957" s="24" t="str">
        <f t="shared" si="60"/>
        <v/>
      </c>
    </row>
    <row r="1958" spans="1:11">
      <c r="A1958" s="35"/>
      <c r="B1958" s="24">
        <v>10</v>
      </c>
      <c r="C1958" s="23"/>
      <c r="D1958" s="23"/>
      <c r="E1958" s="24"/>
      <c r="F1958" s="24"/>
      <c r="G1958" s="24"/>
      <c r="H1958" s="24"/>
      <c r="I1958" s="24"/>
      <c r="J1958" s="24" t="str">
        <f t="shared" si="59"/>
        <v/>
      </c>
      <c r="K1958" s="24" t="str">
        <f t="shared" si="60"/>
        <v/>
      </c>
    </row>
    <row r="1959" spans="1:11">
      <c r="A1959" s="35"/>
      <c r="B1959" s="24">
        <v>11</v>
      </c>
      <c r="C1959" s="23"/>
      <c r="D1959" s="23"/>
      <c r="E1959" s="24"/>
      <c r="F1959" s="24"/>
      <c r="G1959" s="24"/>
      <c r="H1959" s="24"/>
      <c r="I1959" s="24"/>
      <c r="J1959" s="24" t="str">
        <f t="shared" si="59"/>
        <v/>
      </c>
      <c r="K1959" s="24" t="str">
        <f t="shared" si="60"/>
        <v/>
      </c>
    </row>
    <row r="1960" spans="1:11">
      <c r="A1960" s="35"/>
      <c r="B1960" s="24">
        <v>12</v>
      </c>
      <c r="C1960" s="23"/>
      <c r="D1960" s="23"/>
      <c r="E1960" s="24"/>
      <c r="F1960" s="24"/>
      <c r="G1960" s="24"/>
      <c r="H1960" s="24"/>
      <c r="I1960" s="24"/>
      <c r="J1960" s="24" t="str">
        <f t="shared" si="59"/>
        <v/>
      </c>
      <c r="K1960" s="24" t="str">
        <f t="shared" si="60"/>
        <v/>
      </c>
    </row>
    <row r="1961" spans="1:11">
      <c r="A1961" s="35"/>
      <c r="B1961" s="24">
        <v>13</v>
      </c>
      <c r="C1961" s="23"/>
      <c r="D1961" s="23"/>
      <c r="E1961" s="24"/>
      <c r="F1961" s="24"/>
      <c r="G1961" s="24"/>
      <c r="H1961" s="24"/>
      <c r="I1961" s="24"/>
      <c r="J1961" s="24" t="str">
        <f t="shared" si="59"/>
        <v/>
      </c>
      <c r="K1961" s="24" t="str">
        <f t="shared" si="60"/>
        <v/>
      </c>
    </row>
    <row r="1962" spans="1:11">
      <c r="A1962" s="35"/>
      <c r="B1962" s="24">
        <v>14</v>
      </c>
      <c r="C1962" s="23"/>
      <c r="D1962" s="23"/>
      <c r="E1962" s="24"/>
      <c r="F1962" s="24"/>
      <c r="G1962" s="24"/>
      <c r="H1962" s="24"/>
      <c r="I1962" s="24"/>
      <c r="J1962" s="24" t="str">
        <f t="shared" si="59"/>
        <v/>
      </c>
      <c r="K1962" s="24" t="str">
        <f t="shared" si="60"/>
        <v/>
      </c>
    </row>
    <row r="1963" spans="1:11">
      <c r="A1963" s="35"/>
      <c r="B1963" s="24">
        <v>15</v>
      </c>
      <c r="C1963" s="23"/>
      <c r="D1963" s="23"/>
      <c r="E1963" s="24"/>
      <c r="F1963" s="24"/>
      <c r="G1963" s="24"/>
      <c r="H1963" s="24"/>
      <c r="I1963" s="24"/>
      <c r="J1963" s="24" t="str">
        <f t="shared" si="59"/>
        <v/>
      </c>
      <c r="K1963" s="24" t="str">
        <f t="shared" si="60"/>
        <v/>
      </c>
    </row>
    <row r="1964" spans="1:11">
      <c r="A1964" s="35"/>
      <c r="B1964" s="24">
        <v>16</v>
      </c>
      <c r="C1964" s="23"/>
      <c r="D1964" s="23"/>
      <c r="E1964" s="24"/>
      <c r="F1964" s="24"/>
      <c r="G1964" s="24"/>
      <c r="H1964" s="24"/>
      <c r="I1964" s="24"/>
      <c r="J1964" s="24" t="str">
        <f t="shared" si="59"/>
        <v/>
      </c>
      <c r="K1964" s="24" t="str">
        <f t="shared" si="60"/>
        <v/>
      </c>
    </row>
    <row r="1965" spans="1:11">
      <c r="A1965" s="35"/>
      <c r="B1965" s="24">
        <v>17</v>
      </c>
      <c r="C1965" s="23"/>
      <c r="D1965" s="23"/>
      <c r="E1965" s="24"/>
      <c r="F1965" s="24"/>
      <c r="G1965" s="24"/>
      <c r="H1965" s="24"/>
      <c r="I1965" s="24"/>
      <c r="J1965" s="24" t="str">
        <f t="shared" si="59"/>
        <v/>
      </c>
      <c r="K1965" s="24" t="str">
        <f t="shared" si="60"/>
        <v/>
      </c>
    </row>
    <row r="1966" spans="1:11">
      <c r="A1966" s="35"/>
      <c r="B1966" s="24">
        <v>18</v>
      </c>
      <c r="C1966" s="23"/>
      <c r="D1966" s="23"/>
      <c r="E1966" s="24"/>
      <c r="F1966" s="24"/>
      <c r="G1966" s="24"/>
      <c r="H1966" s="24"/>
      <c r="I1966" s="24"/>
      <c r="J1966" s="24" t="str">
        <f t="shared" si="59"/>
        <v/>
      </c>
      <c r="K1966" s="24" t="str">
        <f t="shared" si="60"/>
        <v/>
      </c>
    </row>
    <row r="1967" spans="1:11">
      <c r="A1967" s="35"/>
      <c r="B1967" s="24">
        <v>19</v>
      </c>
      <c r="C1967" s="23"/>
      <c r="D1967" s="23"/>
      <c r="E1967" s="24"/>
      <c r="F1967" s="24"/>
      <c r="G1967" s="24"/>
      <c r="H1967" s="24"/>
      <c r="I1967" s="24"/>
      <c r="J1967" s="24" t="str">
        <f t="shared" si="59"/>
        <v/>
      </c>
      <c r="K1967" s="24" t="str">
        <f t="shared" si="60"/>
        <v/>
      </c>
    </row>
    <row r="1968" spans="1:11">
      <c r="A1968" s="35"/>
      <c r="B1968" s="24">
        <v>20</v>
      </c>
      <c r="C1968" s="23"/>
      <c r="D1968" s="23"/>
      <c r="E1968" s="24"/>
      <c r="F1968" s="24"/>
      <c r="G1968" s="24"/>
      <c r="H1968" s="24"/>
      <c r="I1968" s="24"/>
      <c r="J1968" s="24" t="str">
        <f t="shared" si="59"/>
        <v/>
      </c>
      <c r="K1968" s="24" t="str">
        <f t="shared" si="60"/>
        <v/>
      </c>
    </row>
    <row r="1969" spans="1:11">
      <c r="A1969" s="35"/>
      <c r="B1969" s="24">
        <v>21</v>
      </c>
      <c r="C1969" s="23"/>
      <c r="D1969" s="23"/>
      <c r="E1969" s="24"/>
      <c r="F1969" s="24"/>
      <c r="G1969" s="24"/>
      <c r="H1969" s="24"/>
      <c r="I1969" s="24"/>
      <c r="J1969" s="24" t="str">
        <f t="shared" si="59"/>
        <v/>
      </c>
      <c r="K1969" s="24" t="str">
        <f t="shared" si="60"/>
        <v/>
      </c>
    </row>
    <row r="1970" spans="1:11">
      <c r="A1970" s="35"/>
      <c r="B1970" s="24">
        <v>22</v>
      </c>
      <c r="C1970" s="23"/>
      <c r="D1970" s="23"/>
      <c r="E1970" s="24"/>
      <c r="F1970" s="24"/>
      <c r="G1970" s="24"/>
      <c r="H1970" s="24"/>
      <c r="I1970" s="24"/>
      <c r="J1970" s="24" t="str">
        <f t="shared" si="59"/>
        <v/>
      </c>
      <c r="K1970" s="24" t="str">
        <f t="shared" si="60"/>
        <v/>
      </c>
    </row>
    <row r="1971" spans="1:11">
      <c r="A1971" s="35"/>
      <c r="B1971" s="24">
        <v>23</v>
      </c>
      <c r="C1971" s="23"/>
      <c r="D1971" s="23"/>
      <c r="E1971" s="24"/>
      <c r="F1971" s="24"/>
      <c r="G1971" s="24"/>
      <c r="H1971" s="24"/>
      <c r="I1971" s="24"/>
      <c r="J1971" s="24" t="str">
        <f t="shared" si="59"/>
        <v/>
      </c>
      <c r="K1971" s="24" t="str">
        <f t="shared" si="60"/>
        <v/>
      </c>
    </row>
    <row r="1972" spans="1:11">
      <c r="A1972" s="35"/>
      <c r="B1972" s="24">
        <v>24</v>
      </c>
      <c r="C1972" s="23"/>
      <c r="D1972" s="23"/>
      <c r="E1972" s="24"/>
      <c r="F1972" s="24"/>
      <c r="G1972" s="24"/>
      <c r="H1972" s="24"/>
      <c r="I1972" s="24"/>
      <c r="J1972" s="24" t="str">
        <f t="shared" si="59"/>
        <v/>
      </c>
      <c r="K1972" s="24" t="str">
        <f t="shared" si="60"/>
        <v/>
      </c>
    </row>
    <row r="1973" spans="1:11">
      <c r="A1973" s="35"/>
      <c r="B1973" s="24">
        <v>25</v>
      </c>
      <c r="C1973" s="23"/>
      <c r="D1973" s="23"/>
      <c r="E1973" s="24"/>
      <c r="F1973" s="24"/>
      <c r="G1973" s="24"/>
      <c r="H1973" s="24"/>
      <c r="I1973" s="24"/>
      <c r="J1973" s="24" t="str">
        <f t="shared" si="59"/>
        <v/>
      </c>
      <c r="K1973" s="24" t="str">
        <f t="shared" si="60"/>
        <v/>
      </c>
    </row>
    <row r="1974" spans="1:11">
      <c r="A1974" s="35"/>
      <c r="B1974" s="24">
        <v>26</v>
      </c>
      <c r="C1974" s="23"/>
      <c r="D1974" s="23"/>
      <c r="E1974" s="24"/>
      <c r="F1974" s="24"/>
      <c r="G1974" s="24"/>
      <c r="H1974" s="24"/>
      <c r="I1974" s="24"/>
      <c r="J1974" s="24" t="str">
        <f t="shared" si="59"/>
        <v/>
      </c>
      <c r="K1974" s="24" t="str">
        <f t="shared" si="60"/>
        <v/>
      </c>
    </row>
    <row r="1975" spans="1:11">
      <c r="A1975" s="35"/>
      <c r="B1975" s="24">
        <v>27</v>
      </c>
      <c r="C1975" s="23"/>
      <c r="D1975" s="23"/>
      <c r="E1975" s="24"/>
      <c r="F1975" s="24"/>
      <c r="G1975" s="24"/>
      <c r="H1975" s="24"/>
      <c r="I1975" s="24"/>
      <c r="J1975" s="24" t="str">
        <f t="shared" si="59"/>
        <v/>
      </c>
      <c r="K1975" s="24" t="str">
        <f t="shared" si="60"/>
        <v/>
      </c>
    </row>
    <row r="1976" spans="1:11">
      <c r="A1976" s="35"/>
      <c r="B1976" s="24">
        <v>28</v>
      </c>
      <c r="C1976" s="23"/>
      <c r="D1976" s="23"/>
      <c r="E1976" s="24"/>
      <c r="F1976" s="24"/>
      <c r="G1976" s="24"/>
      <c r="H1976" s="24"/>
      <c r="I1976" s="24"/>
      <c r="J1976" s="24" t="str">
        <f t="shared" si="59"/>
        <v/>
      </c>
      <c r="K1976" s="24" t="str">
        <f t="shared" si="60"/>
        <v/>
      </c>
    </row>
    <row r="1977" spans="1:11">
      <c r="A1977" s="35"/>
      <c r="B1977" s="24">
        <v>29</v>
      </c>
      <c r="C1977" s="23"/>
      <c r="D1977" s="23"/>
      <c r="E1977" s="24"/>
      <c r="F1977" s="24"/>
      <c r="G1977" s="24"/>
      <c r="H1977" s="24"/>
      <c r="I1977" s="24"/>
      <c r="J1977" s="24" t="str">
        <f t="shared" si="59"/>
        <v/>
      </c>
      <c r="K1977" s="24" t="str">
        <f t="shared" si="60"/>
        <v/>
      </c>
    </row>
    <row r="1978" spans="1:11">
      <c r="A1978" s="35"/>
      <c r="B1978" s="24">
        <v>30</v>
      </c>
      <c r="C1978" s="23"/>
      <c r="D1978" s="23"/>
      <c r="E1978" s="24"/>
      <c r="F1978" s="24"/>
      <c r="G1978" s="24"/>
      <c r="H1978" s="24"/>
      <c r="I1978" s="24"/>
      <c r="J1978" s="24" t="str">
        <f t="shared" si="59"/>
        <v/>
      </c>
      <c r="K1978" s="24" t="str">
        <f t="shared" si="60"/>
        <v/>
      </c>
    </row>
    <row r="1979" spans="1:11">
      <c r="A1979" s="35"/>
      <c r="B1979" s="24">
        <v>31</v>
      </c>
      <c r="C1979" s="23"/>
      <c r="D1979" s="23"/>
      <c r="E1979" s="24"/>
      <c r="F1979" s="24"/>
      <c r="G1979" s="24"/>
      <c r="H1979" s="24"/>
      <c r="I1979" s="24"/>
      <c r="J1979" s="24" t="str">
        <f t="shared" si="59"/>
        <v/>
      </c>
      <c r="K1979" s="24" t="str">
        <f t="shared" si="60"/>
        <v/>
      </c>
    </row>
    <row r="1980" spans="1:11">
      <c r="A1980" s="35"/>
      <c r="B1980" s="24">
        <v>32</v>
      </c>
      <c r="C1980" s="23"/>
      <c r="D1980" s="23"/>
      <c r="E1980" s="24"/>
      <c r="F1980" s="24"/>
      <c r="G1980" s="24"/>
      <c r="H1980" s="24"/>
      <c r="I1980" s="24"/>
      <c r="J1980" s="24" t="str">
        <f t="shared" si="59"/>
        <v/>
      </c>
      <c r="K1980" s="24" t="str">
        <f t="shared" si="60"/>
        <v/>
      </c>
    </row>
    <row r="1981" spans="1:11">
      <c r="A1981" s="35"/>
      <c r="B1981" s="24">
        <v>33</v>
      </c>
      <c r="C1981" s="23"/>
      <c r="D1981" s="23"/>
      <c r="E1981" s="24"/>
      <c r="F1981" s="24"/>
      <c r="G1981" s="24"/>
      <c r="H1981" s="24"/>
      <c r="I1981" s="24"/>
      <c r="J1981" s="24" t="str">
        <f t="shared" si="59"/>
        <v/>
      </c>
      <c r="K1981" s="24" t="str">
        <f t="shared" si="60"/>
        <v/>
      </c>
    </row>
    <row r="1982" spans="1:11">
      <c r="A1982" s="35"/>
      <c r="B1982" s="24">
        <v>34</v>
      </c>
      <c r="C1982" s="23"/>
      <c r="D1982" s="23"/>
      <c r="E1982" s="24"/>
      <c r="F1982" s="24"/>
      <c r="G1982" s="24"/>
      <c r="H1982" s="24"/>
      <c r="I1982" s="24"/>
      <c r="J1982" s="24" t="str">
        <f t="shared" si="59"/>
        <v/>
      </c>
      <c r="K1982" s="24" t="str">
        <f t="shared" si="60"/>
        <v/>
      </c>
    </row>
    <row r="1983" spans="1:11">
      <c r="A1983" s="35"/>
      <c r="B1983" s="24">
        <v>35</v>
      </c>
      <c r="C1983" s="23"/>
      <c r="D1983" s="23"/>
      <c r="E1983" s="24"/>
      <c r="F1983" s="24"/>
      <c r="G1983" s="24"/>
      <c r="H1983" s="24"/>
      <c r="I1983" s="24"/>
      <c r="J1983" s="24" t="str">
        <f t="shared" si="59"/>
        <v/>
      </c>
      <c r="K1983" s="24" t="str">
        <f t="shared" si="60"/>
        <v/>
      </c>
    </row>
    <row r="1984" spans="1:11">
      <c r="A1984" s="35"/>
      <c r="B1984" s="24">
        <v>36</v>
      </c>
      <c r="C1984" s="23"/>
      <c r="D1984" s="23"/>
      <c r="E1984" s="24"/>
      <c r="F1984" s="24"/>
      <c r="G1984" s="24"/>
      <c r="H1984" s="24"/>
      <c r="I1984" s="24"/>
      <c r="J1984" s="24" t="str">
        <f t="shared" si="59"/>
        <v/>
      </c>
      <c r="K1984" s="24" t="str">
        <f t="shared" si="60"/>
        <v/>
      </c>
    </row>
    <row r="1985" spans="1:11">
      <c r="A1985" s="35"/>
      <c r="B1985" s="24">
        <v>37</v>
      </c>
      <c r="C1985" s="23"/>
      <c r="D1985" s="23"/>
      <c r="E1985" s="24"/>
      <c r="F1985" s="24"/>
      <c r="G1985" s="24"/>
      <c r="H1985" s="24"/>
      <c r="I1985" s="24"/>
      <c r="J1985" s="24" t="str">
        <f t="shared" si="59"/>
        <v/>
      </c>
      <c r="K1985" s="24" t="str">
        <f t="shared" si="60"/>
        <v/>
      </c>
    </row>
    <row r="1986" spans="1:11">
      <c r="A1986" s="35"/>
      <c r="B1986" s="24">
        <v>38</v>
      </c>
      <c r="C1986" s="23"/>
      <c r="D1986" s="23"/>
      <c r="E1986" s="24"/>
      <c r="F1986" s="24"/>
      <c r="G1986" s="24"/>
      <c r="H1986" s="24"/>
      <c r="I1986" s="24"/>
      <c r="J1986" s="24" t="str">
        <f t="shared" si="59"/>
        <v/>
      </c>
      <c r="K1986" s="24" t="str">
        <f t="shared" si="60"/>
        <v/>
      </c>
    </row>
    <row r="1987" spans="1:11">
      <c r="A1987" s="35"/>
      <c r="B1987" s="24">
        <v>39</v>
      </c>
      <c r="C1987" s="23"/>
      <c r="D1987" s="23"/>
      <c r="E1987" s="24"/>
      <c r="F1987" s="24"/>
      <c r="G1987" s="24"/>
      <c r="H1987" s="24"/>
      <c r="I1987" s="24"/>
      <c r="J1987" s="24" t="str">
        <f t="shared" si="59"/>
        <v/>
      </c>
      <c r="K1987" s="24" t="str">
        <f t="shared" si="60"/>
        <v/>
      </c>
    </row>
    <row r="1988" spans="1:11">
      <c r="A1988" s="35"/>
      <c r="B1988" s="24">
        <v>40</v>
      </c>
      <c r="C1988" s="23"/>
      <c r="D1988" s="23"/>
      <c r="E1988" s="24"/>
      <c r="F1988" s="24"/>
      <c r="G1988" s="24"/>
      <c r="H1988" s="24"/>
      <c r="I1988" s="24"/>
      <c r="J1988" s="24" t="str">
        <f t="shared" si="59"/>
        <v/>
      </c>
      <c r="K1988" s="24" t="str">
        <f t="shared" si="60"/>
        <v/>
      </c>
    </row>
    <row r="1989" spans="1:11">
      <c r="A1989" s="35"/>
      <c r="B1989" s="24">
        <v>41</v>
      </c>
      <c r="C1989" s="23"/>
      <c r="D1989" s="23"/>
      <c r="E1989" s="24"/>
      <c r="F1989" s="24"/>
      <c r="G1989" s="24"/>
      <c r="H1989" s="24"/>
      <c r="I1989" s="24"/>
      <c r="J1989" s="24" t="str">
        <f t="shared" si="59"/>
        <v/>
      </c>
      <c r="K1989" s="24" t="str">
        <f t="shared" si="60"/>
        <v/>
      </c>
    </row>
    <row r="1990" spans="1:11">
      <c r="A1990" s="35"/>
      <c r="B1990" s="24">
        <v>42</v>
      </c>
      <c r="C1990" s="23"/>
      <c r="D1990" s="23"/>
      <c r="E1990" s="24"/>
      <c r="F1990" s="24"/>
      <c r="G1990" s="24"/>
      <c r="H1990" s="24"/>
      <c r="I1990" s="24"/>
      <c r="J1990" s="24" t="str">
        <f t="shared" si="59"/>
        <v/>
      </c>
      <c r="K1990" s="24" t="str">
        <f t="shared" si="60"/>
        <v/>
      </c>
    </row>
    <row r="1991" spans="1:11">
      <c r="A1991" s="35"/>
      <c r="B1991" s="24">
        <v>43</v>
      </c>
      <c r="C1991" s="23"/>
      <c r="D1991" s="23"/>
      <c r="E1991" s="24"/>
      <c r="F1991" s="24"/>
      <c r="G1991" s="24"/>
      <c r="H1991" s="24"/>
      <c r="I1991" s="24"/>
      <c r="J1991" s="24" t="str">
        <f t="shared" si="59"/>
        <v/>
      </c>
      <c r="K1991" s="24" t="str">
        <f t="shared" si="60"/>
        <v/>
      </c>
    </row>
    <row r="1992" spans="1:11">
      <c r="A1992" s="35"/>
      <c r="B1992" s="24">
        <v>44</v>
      </c>
      <c r="C1992" s="23"/>
      <c r="D1992" s="23"/>
      <c r="E1992" s="24"/>
      <c r="F1992" s="24"/>
      <c r="G1992" s="24"/>
      <c r="H1992" s="24"/>
      <c r="I1992" s="24"/>
      <c r="J1992" s="24" t="str">
        <f t="shared" si="59"/>
        <v/>
      </c>
      <c r="K1992" s="24" t="str">
        <f t="shared" si="60"/>
        <v/>
      </c>
    </row>
    <row r="1993" spans="1:11">
      <c r="A1993" s="35"/>
      <c r="B1993" s="24">
        <v>45</v>
      </c>
      <c r="C1993" s="23"/>
      <c r="D1993" s="23"/>
      <c r="E1993" s="24"/>
      <c r="F1993" s="24"/>
      <c r="G1993" s="24"/>
      <c r="H1993" s="24"/>
      <c r="I1993" s="24"/>
      <c r="J1993" s="24" t="str">
        <f t="shared" si="59"/>
        <v/>
      </c>
      <c r="K1993" s="24" t="str">
        <f t="shared" si="60"/>
        <v/>
      </c>
    </row>
    <row r="1994" spans="1:11">
      <c r="A1994" s="35"/>
      <c r="B1994" s="24">
        <v>46</v>
      </c>
      <c r="C1994" s="23"/>
      <c r="D1994" s="23"/>
      <c r="E1994" s="24"/>
      <c r="F1994" s="24"/>
      <c r="G1994" s="24"/>
      <c r="H1994" s="24"/>
      <c r="I1994" s="24"/>
      <c r="J1994" s="24" t="str">
        <f t="shared" si="59"/>
        <v/>
      </c>
      <c r="K1994" s="24" t="str">
        <f t="shared" si="60"/>
        <v/>
      </c>
    </row>
    <row r="1995" spans="1:11">
      <c r="A1995" s="35"/>
      <c r="B1995" s="24">
        <v>47</v>
      </c>
      <c r="C1995" s="23"/>
      <c r="D1995" s="23"/>
      <c r="E1995" s="24"/>
      <c r="F1995" s="24"/>
      <c r="G1995" s="24"/>
      <c r="H1995" s="24"/>
      <c r="I1995" s="24"/>
      <c r="J1995" s="24" t="str">
        <f t="shared" si="59"/>
        <v/>
      </c>
      <c r="K1995" s="24" t="str">
        <f t="shared" si="60"/>
        <v/>
      </c>
    </row>
    <row r="1996" spans="1:11">
      <c r="A1996" s="35"/>
      <c r="B1996" s="24">
        <v>48</v>
      </c>
      <c r="C1996" s="23"/>
      <c r="D1996" s="23"/>
      <c r="E1996" s="24"/>
      <c r="F1996" s="24"/>
      <c r="G1996" s="24"/>
      <c r="H1996" s="24"/>
      <c r="I1996" s="24"/>
      <c r="J1996" s="24" t="str">
        <f t="shared" si="59"/>
        <v/>
      </c>
      <c r="K1996" s="24" t="str">
        <f t="shared" si="60"/>
        <v/>
      </c>
    </row>
    <row r="1997" spans="1:11">
      <c r="A1997" s="35"/>
      <c r="B1997" s="24">
        <v>49</v>
      </c>
      <c r="C1997" s="23"/>
      <c r="D1997" s="23"/>
      <c r="E1997" s="24"/>
      <c r="F1997" s="24"/>
      <c r="G1997" s="24"/>
      <c r="H1997" s="24"/>
      <c r="I1997" s="24"/>
      <c r="J1997" s="24" t="str">
        <f t="shared" si="59"/>
        <v/>
      </c>
      <c r="K1997" s="24" t="str">
        <f t="shared" si="60"/>
        <v/>
      </c>
    </row>
    <row r="1998" spans="1:11">
      <c r="A1998" s="35"/>
      <c r="B1998" s="24">
        <v>50</v>
      </c>
      <c r="C1998" s="23"/>
      <c r="D1998" s="23"/>
      <c r="E1998" s="24"/>
      <c r="F1998" s="24"/>
      <c r="G1998" s="24"/>
      <c r="H1998" s="24"/>
      <c r="I1998" s="24"/>
      <c r="J1998" s="24" t="str">
        <f t="shared" si="59"/>
        <v/>
      </c>
      <c r="K1998" s="24" t="str">
        <f t="shared" si="60"/>
        <v/>
      </c>
    </row>
    <row r="1999" spans="1:11">
      <c r="A1999" s="35"/>
      <c r="B1999" s="24">
        <v>51</v>
      </c>
      <c r="C1999" s="23"/>
      <c r="D1999" s="23"/>
      <c r="E1999" s="24"/>
      <c r="F1999" s="24"/>
      <c r="G1999" s="24"/>
      <c r="H1999" s="24"/>
      <c r="I1999" s="24"/>
      <c r="J1999" s="24" t="str">
        <f t="shared" si="59"/>
        <v/>
      </c>
      <c r="K1999" s="24" t="str">
        <f t="shared" si="60"/>
        <v/>
      </c>
    </row>
    <row r="2000" spans="1:11">
      <c r="A2000" s="35"/>
      <c r="B2000" s="24">
        <v>52</v>
      </c>
      <c r="C2000" s="23"/>
      <c r="D2000" s="23"/>
      <c r="E2000" s="24"/>
      <c r="F2000" s="24"/>
      <c r="G2000" s="24"/>
      <c r="H2000" s="24"/>
      <c r="I2000" s="24"/>
      <c r="J2000" s="24" t="str">
        <f t="shared" si="59"/>
        <v/>
      </c>
      <c r="K2000" s="24" t="str">
        <f t="shared" si="60"/>
        <v/>
      </c>
    </row>
    <row r="2001" spans="1:11">
      <c r="A2001" s="35"/>
      <c r="B2001" s="24">
        <v>53</v>
      </c>
      <c r="C2001" s="23"/>
      <c r="D2001" s="23"/>
      <c r="E2001" s="24"/>
      <c r="F2001" s="24"/>
      <c r="G2001" s="24"/>
      <c r="H2001" s="24"/>
      <c r="I2001" s="24"/>
      <c r="J2001" s="24" t="str">
        <f t="shared" si="59"/>
        <v/>
      </c>
      <c r="K2001" s="24" t="str">
        <f t="shared" si="60"/>
        <v/>
      </c>
    </row>
    <row r="2002" spans="1:11">
      <c r="A2002" s="35"/>
      <c r="B2002" s="24">
        <v>54</v>
      </c>
      <c r="C2002" s="23"/>
      <c r="D2002" s="23"/>
      <c r="E2002" s="24"/>
      <c r="F2002" s="24"/>
      <c r="G2002" s="24"/>
      <c r="H2002" s="24"/>
      <c r="I2002" s="24"/>
      <c r="J2002" s="24" t="str">
        <f t="shared" si="59"/>
        <v/>
      </c>
      <c r="K2002" s="24" t="str">
        <f t="shared" si="60"/>
        <v/>
      </c>
    </row>
    <row r="2003" spans="1:11">
      <c r="A2003" s="35"/>
      <c r="B2003" s="24">
        <v>55</v>
      </c>
      <c r="C2003" s="23"/>
      <c r="D2003" s="23"/>
      <c r="E2003" s="24"/>
      <c r="F2003" s="24"/>
      <c r="G2003" s="24"/>
      <c r="H2003" s="24"/>
      <c r="I2003" s="24"/>
      <c r="J2003" s="24" t="str">
        <f t="shared" si="59"/>
        <v/>
      </c>
      <c r="K2003" s="24" t="str">
        <f t="shared" si="60"/>
        <v/>
      </c>
    </row>
    <row r="2004" spans="1:11">
      <c r="A2004" s="35"/>
      <c r="B2004" s="24">
        <v>56</v>
      </c>
      <c r="C2004" s="23"/>
      <c r="D2004" s="23"/>
      <c r="E2004" s="24"/>
      <c r="F2004" s="24"/>
      <c r="G2004" s="24"/>
      <c r="H2004" s="24"/>
      <c r="I2004" s="24"/>
      <c r="J2004" s="24" t="str">
        <f t="shared" si="59"/>
        <v/>
      </c>
      <c r="K2004" s="24" t="str">
        <f t="shared" si="60"/>
        <v/>
      </c>
    </row>
    <row r="2005" spans="1:11">
      <c r="A2005" s="35"/>
      <c r="B2005" s="24">
        <v>57</v>
      </c>
      <c r="C2005" s="23"/>
      <c r="D2005" s="23"/>
      <c r="E2005" s="24"/>
      <c r="F2005" s="24"/>
      <c r="G2005" s="24"/>
      <c r="H2005" s="24"/>
      <c r="I2005" s="24"/>
      <c r="J2005" s="24" t="str">
        <f t="shared" si="59"/>
        <v/>
      </c>
      <c r="K2005" s="24" t="str">
        <f t="shared" si="60"/>
        <v/>
      </c>
    </row>
    <row r="2006" spans="1:11">
      <c r="A2006" s="35"/>
      <c r="B2006" s="24">
        <v>58</v>
      </c>
      <c r="C2006" s="23"/>
      <c r="D2006" s="23"/>
      <c r="E2006" s="24"/>
      <c r="F2006" s="24"/>
      <c r="G2006" s="24"/>
      <c r="H2006" s="24"/>
      <c r="I2006" s="24"/>
      <c r="J2006" s="24" t="str">
        <f t="shared" si="59"/>
        <v/>
      </c>
      <c r="K2006" s="24" t="str">
        <f t="shared" si="60"/>
        <v/>
      </c>
    </row>
    <row r="2007" spans="1:11">
      <c r="A2007" s="35"/>
      <c r="B2007" s="24">
        <v>59</v>
      </c>
      <c r="C2007" s="23"/>
      <c r="D2007" s="23"/>
      <c r="E2007" s="24"/>
      <c r="F2007" s="24"/>
      <c r="G2007" s="24"/>
      <c r="H2007" s="24"/>
      <c r="I2007" s="24"/>
      <c r="J2007" s="24" t="str">
        <f t="shared" si="59"/>
        <v/>
      </c>
      <c r="K2007" s="24" t="str">
        <f t="shared" si="60"/>
        <v/>
      </c>
    </row>
    <row r="2008" spans="1:11">
      <c r="A2008" s="35"/>
      <c r="B2008" s="24">
        <v>60</v>
      </c>
      <c r="C2008" s="23"/>
      <c r="D2008" s="23"/>
      <c r="E2008" s="24"/>
      <c r="F2008" s="24"/>
      <c r="G2008" s="24"/>
      <c r="H2008" s="24"/>
      <c r="I2008" s="24"/>
      <c r="J2008" s="24" t="str">
        <f t="shared" si="59"/>
        <v/>
      </c>
      <c r="K2008" s="24" t="str">
        <f t="shared" si="60"/>
        <v/>
      </c>
    </row>
    <row r="2009" spans="1:11">
      <c r="A2009" s="35"/>
      <c r="B2009" s="34"/>
      <c r="C2009" s="34"/>
      <c r="D2009" s="34"/>
      <c r="E2009" s="34"/>
      <c r="F2009" s="34"/>
      <c r="G2009" s="34"/>
      <c r="H2009" s="34"/>
      <c r="I2009" s="33" t="s">
        <v>31</v>
      </c>
      <c r="J2009" s="33"/>
      <c r="K2009" s="24">
        <f>SUM(K1949:K2008)</f>
        <v>0</v>
      </c>
    </row>
    <row r="2010" spans="1:11">
      <c r="I2010" s="27"/>
      <c r="J2010" s="27"/>
      <c r="K2010" s="24"/>
    </row>
  </sheetData>
  <sortState xmlns:xlrd2="http://schemas.microsoft.com/office/spreadsheetml/2017/richdata2" ref="C1038:H1048">
    <sortCondition ref="C1038:C1048"/>
  </sortState>
  <mergeCells count="121">
    <mergeCell ref="A1746:A1808"/>
    <mergeCell ref="A1813:A1875"/>
    <mergeCell ref="A1880:A1942"/>
    <mergeCell ref="A1947:A2009"/>
    <mergeCell ref="A1410:A1473"/>
    <mergeCell ref="A1478:A1540"/>
    <mergeCell ref="A1545:A1607"/>
    <mergeCell ref="A1612:A1674"/>
    <mergeCell ref="A1679:A1741"/>
    <mergeCell ref="A1075:A1137"/>
    <mergeCell ref="A1142:A1204"/>
    <mergeCell ref="A1209:A1271"/>
    <mergeCell ref="A1276:A1338"/>
    <mergeCell ref="A1343:A1405"/>
    <mergeCell ref="A740:A802"/>
    <mergeCell ref="A807:A869"/>
    <mergeCell ref="A874:A936"/>
    <mergeCell ref="A941:A1003"/>
    <mergeCell ref="A1008:A1070"/>
    <mergeCell ref="A405:A467"/>
    <mergeCell ref="A472:A534"/>
    <mergeCell ref="A539:A601"/>
    <mergeCell ref="A606:A668"/>
    <mergeCell ref="A673:A735"/>
    <mergeCell ref="A137:A199"/>
    <mergeCell ref="A204:A266"/>
    <mergeCell ref="A271:A333"/>
    <mergeCell ref="A338:A400"/>
    <mergeCell ref="B1880:H1880"/>
    <mergeCell ref="B1942:H1942"/>
    <mergeCell ref="I1942:J1942"/>
    <mergeCell ref="B1947:H1947"/>
    <mergeCell ref="B2009:H2009"/>
    <mergeCell ref="I2009:J2009"/>
    <mergeCell ref="B1746:H1746"/>
    <mergeCell ref="B1808:H1808"/>
    <mergeCell ref="I1808:J1808"/>
    <mergeCell ref="B1813:H1813"/>
    <mergeCell ref="B1875:H1875"/>
    <mergeCell ref="I1875:J1875"/>
    <mergeCell ref="B1612:H1612"/>
    <mergeCell ref="B1674:H1674"/>
    <mergeCell ref="I1674:J1674"/>
    <mergeCell ref="B1679:H1679"/>
    <mergeCell ref="B1741:H1741"/>
    <mergeCell ref="I1741:J1741"/>
    <mergeCell ref="B1478:H1478"/>
    <mergeCell ref="B1540:H1540"/>
    <mergeCell ref="I1540:J1540"/>
    <mergeCell ref="B1545:H1545"/>
    <mergeCell ref="B1607:H1607"/>
    <mergeCell ref="I1607:J1607"/>
    <mergeCell ref="B1343:H1343"/>
    <mergeCell ref="B1405:H1405"/>
    <mergeCell ref="I1405:J1405"/>
    <mergeCell ref="B1410:H1410"/>
    <mergeCell ref="B1473:H1473"/>
    <mergeCell ref="I1473:J1473"/>
    <mergeCell ref="B1209:H1209"/>
    <mergeCell ref="B1271:H1271"/>
    <mergeCell ref="I1271:J1271"/>
    <mergeCell ref="B1276:H1276"/>
    <mergeCell ref="B1338:H1338"/>
    <mergeCell ref="I1338:J1338"/>
    <mergeCell ref="B1075:H1075"/>
    <mergeCell ref="B1137:H1137"/>
    <mergeCell ref="I1137:J1137"/>
    <mergeCell ref="B1142:H1142"/>
    <mergeCell ref="B1204:H1204"/>
    <mergeCell ref="I1204:J1204"/>
    <mergeCell ref="B941:H941"/>
    <mergeCell ref="B1003:H1003"/>
    <mergeCell ref="I1003:J1003"/>
    <mergeCell ref="B1008:H1008"/>
    <mergeCell ref="B1070:H1070"/>
    <mergeCell ref="I1070:J1070"/>
    <mergeCell ref="B807:H807"/>
    <mergeCell ref="B869:H869"/>
    <mergeCell ref="I869:J869"/>
    <mergeCell ref="B874:H874"/>
    <mergeCell ref="B936:H936"/>
    <mergeCell ref="I936:J936"/>
    <mergeCell ref="B673:H673"/>
    <mergeCell ref="B735:H735"/>
    <mergeCell ref="I735:J735"/>
    <mergeCell ref="B740:H740"/>
    <mergeCell ref="B802:H802"/>
    <mergeCell ref="I802:J802"/>
    <mergeCell ref="B539:H539"/>
    <mergeCell ref="B601:H601"/>
    <mergeCell ref="I601:J601"/>
    <mergeCell ref="B606:H606"/>
    <mergeCell ref="B668:H668"/>
    <mergeCell ref="I668:J668"/>
    <mergeCell ref="B405:H405"/>
    <mergeCell ref="B467:H467"/>
    <mergeCell ref="I467:J467"/>
    <mergeCell ref="B472:H472"/>
    <mergeCell ref="B534:H534"/>
    <mergeCell ref="I534:J534"/>
    <mergeCell ref="B271:H271"/>
    <mergeCell ref="B333:H333"/>
    <mergeCell ref="I333:J333"/>
    <mergeCell ref="B338:H338"/>
    <mergeCell ref="B400:H400"/>
    <mergeCell ref="I400:J400"/>
    <mergeCell ref="B137:H137"/>
    <mergeCell ref="B199:H199"/>
    <mergeCell ref="I199:J199"/>
    <mergeCell ref="B204:H204"/>
    <mergeCell ref="B266:H266"/>
    <mergeCell ref="I266:J266"/>
    <mergeCell ref="I65:J65"/>
    <mergeCell ref="B65:H65"/>
    <mergeCell ref="B3:H3"/>
    <mergeCell ref="A3:A65"/>
    <mergeCell ref="B70:H70"/>
    <mergeCell ref="B132:H132"/>
    <mergeCell ref="I132:J132"/>
    <mergeCell ref="A70:A132"/>
    <mergeCell ref="A1:K1"/>
  </mergeCells>
  <printOptions horizontalCentered="1" verticalCentered="1"/>
  <pageMargins left="0.19685039370078741" right="0.19685039370078741" top="0.31496062992125984" bottom="0.31496062992125984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10"/>
  <sheetViews>
    <sheetView topLeftCell="A757" zoomScaleNormal="100" workbookViewId="0">
      <selection activeCell="G768" sqref="G768"/>
    </sheetView>
  </sheetViews>
  <sheetFormatPr defaultColWidth="9.1328125" defaultRowHeight="14.45" customHeight="1"/>
  <cols>
    <col min="1" max="1" width="8.86328125" style="23"/>
    <col min="2" max="2" width="6.86328125" style="22" customWidth="1"/>
    <col min="3" max="3" width="21.73046875" style="22" customWidth="1"/>
    <col min="4" max="4" width="11.265625" style="22" bestFit="1" customWidth="1"/>
    <col min="5" max="5" width="4.1328125" style="22" customWidth="1"/>
    <col min="6" max="6" width="9.1328125" style="22"/>
    <col min="7" max="7" width="18.73046875" style="22" customWidth="1"/>
    <col min="8" max="8" width="11.265625" style="22" bestFit="1" customWidth="1"/>
    <col min="9" max="16384" width="9.1328125" style="22"/>
  </cols>
  <sheetData>
    <row r="1" spans="1:10" ht="46.5">
      <c r="A1" s="36" t="s">
        <v>52</v>
      </c>
      <c r="B1" s="36"/>
      <c r="C1" s="36"/>
      <c r="D1" s="36"/>
      <c r="E1" s="36"/>
      <c r="F1" s="36"/>
      <c r="G1" s="36"/>
      <c r="H1" s="36"/>
      <c r="I1" s="36"/>
      <c r="J1" s="21"/>
    </row>
    <row r="2" spans="1:10" ht="14.25">
      <c r="A2" s="49">
        <v>1</v>
      </c>
      <c r="B2" s="35" t="s">
        <v>33</v>
      </c>
      <c r="C2" s="35"/>
      <c r="D2" s="35"/>
      <c r="E2" s="23"/>
      <c r="F2" s="23"/>
      <c r="G2" s="23"/>
      <c r="H2" s="24" t="s">
        <v>36</v>
      </c>
      <c r="I2" s="23"/>
    </row>
    <row r="3" spans="1:10" ht="14.25">
      <c r="A3" s="49"/>
      <c r="B3" s="23" t="s">
        <v>35</v>
      </c>
      <c r="C3" s="50" t="str">
        <f>IF('Fee Receipt (Class-wise)'!C2="", "", 'Fee Receipt (Class-wise)'!C2)</f>
        <v xml:space="preserve"> CRECHE</v>
      </c>
      <c r="D3" s="50"/>
      <c r="E3" s="23"/>
      <c r="F3" s="23"/>
      <c r="G3" s="23"/>
      <c r="H3" s="49">
        <f>IF(C3="", "", H36)</f>
        <v>23990</v>
      </c>
      <c r="I3" s="23"/>
    </row>
    <row r="4" spans="1:10" ht="14.25">
      <c r="A4" s="49"/>
      <c r="B4" s="23" t="s">
        <v>34</v>
      </c>
      <c r="C4" s="50" t="str">
        <f>IF(C3="", "", 'Fee Receipt (Class-wise)'!$H$2)</f>
        <v>2025-26</v>
      </c>
      <c r="D4" s="50"/>
      <c r="E4" s="23"/>
      <c r="F4" s="23"/>
      <c r="G4" s="23"/>
      <c r="H4" s="49"/>
      <c r="I4" s="23"/>
    </row>
    <row r="5" spans="1:10" ht="28.5">
      <c r="A5" s="35"/>
      <c r="B5" s="25" t="s">
        <v>1</v>
      </c>
      <c r="C5" s="25" t="s">
        <v>2</v>
      </c>
      <c r="D5" s="25" t="s">
        <v>9</v>
      </c>
      <c r="E5" s="23"/>
      <c r="F5" s="25" t="s">
        <v>1</v>
      </c>
      <c r="G5" s="25" t="s">
        <v>2</v>
      </c>
      <c r="H5" s="25" t="s">
        <v>9</v>
      </c>
      <c r="I5" s="23"/>
    </row>
    <row r="6" spans="1:10" ht="14.45" customHeight="1">
      <c r="A6" s="35"/>
      <c r="B6" s="25">
        <v>1</v>
      </c>
      <c r="C6" s="26" t="str">
        <f>IF('Fee Receipt (Class-wise)'!C5="", "", 'Fee Receipt (Class-wise)'!C5)</f>
        <v>ABDUL KARIM TIJANI</v>
      </c>
      <c r="D6" s="25">
        <f>'Fee Receipt (Class-wise)'!K5</f>
        <v>500</v>
      </c>
      <c r="E6" s="23"/>
      <c r="F6" s="25">
        <v>31</v>
      </c>
      <c r="G6" s="26" t="str">
        <f>IF('Fee Receipt (Class-wise)'!C35="", "", 'Fee Receipt (Class-wise)'!C35)</f>
        <v/>
      </c>
      <c r="H6" s="25">
        <f>'Fee Receipt (Class-wise)'!K35</f>
        <v>650</v>
      </c>
      <c r="I6" s="23"/>
    </row>
    <row r="7" spans="1:10" ht="14.45" customHeight="1">
      <c r="A7" s="35"/>
      <c r="B7" s="25">
        <v>2</v>
      </c>
      <c r="C7" s="26" t="str">
        <f>IF('Fee Receipt (Class-wise)'!C6="", "", 'Fee Receipt (Class-wise)'!C6)</f>
        <v>ABDULAI MUSHARAFATU</v>
      </c>
      <c r="D7" s="25">
        <f>'Fee Receipt (Class-wise)'!K6</f>
        <v>0</v>
      </c>
      <c r="E7" s="23"/>
      <c r="F7" s="25">
        <v>32</v>
      </c>
      <c r="G7" s="26" t="str">
        <f>IF('Fee Receipt (Class-wise)'!C36="", "", 'Fee Receipt (Class-wise)'!C36)</f>
        <v/>
      </c>
      <c r="H7" s="25">
        <f>'Fee Receipt (Class-wise)'!K36</f>
        <v>650</v>
      </c>
      <c r="I7" s="23"/>
    </row>
    <row r="8" spans="1:10" ht="14.45" customHeight="1">
      <c r="A8" s="35"/>
      <c r="B8" s="25">
        <v>3</v>
      </c>
      <c r="C8" s="26" t="str">
        <f>IF('Fee Receipt (Class-wise)'!C7="", "", 'Fee Receipt (Class-wise)'!C7)</f>
        <v>ADEPA JAYDA</v>
      </c>
      <c r="D8" s="25">
        <f>'Fee Receipt (Class-wise)'!K7</f>
        <v>450</v>
      </c>
      <c r="E8" s="23"/>
      <c r="F8" s="25">
        <v>33</v>
      </c>
      <c r="G8" s="26" t="str">
        <f>IF('Fee Receipt (Class-wise)'!C37="", "", 'Fee Receipt (Class-wise)'!C37)</f>
        <v/>
      </c>
      <c r="H8" s="25">
        <f>'Fee Receipt (Class-wise)'!K37</f>
        <v>650</v>
      </c>
      <c r="I8" s="23"/>
    </row>
    <row r="9" spans="1:10" ht="14.45" customHeight="1">
      <c r="A9" s="35"/>
      <c r="B9" s="25">
        <v>4</v>
      </c>
      <c r="C9" s="26" t="str">
        <f>IF('Fee Receipt (Class-wise)'!C8="", "", 'Fee Receipt (Class-wise)'!C8)</f>
        <v>AFARI JAMES SHININGONE</v>
      </c>
      <c r="D9" s="25">
        <f>'Fee Receipt (Class-wise)'!K8</f>
        <v>340</v>
      </c>
      <c r="E9" s="23"/>
      <c r="F9" s="25">
        <v>34</v>
      </c>
      <c r="G9" s="26" t="str">
        <f>IF('Fee Receipt (Class-wise)'!C38="", "", 'Fee Receipt (Class-wise)'!C38)</f>
        <v/>
      </c>
      <c r="H9" s="25">
        <f>'Fee Receipt (Class-wise)'!K38</f>
        <v>650</v>
      </c>
      <c r="I9" s="23"/>
    </row>
    <row r="10" spans="1:10" ht="14.45" customHeight="1">
      <c r="A10" s="35"/>
      <c r="B10" s="25">
        <v>5</v>
      </c>
      <c r="C10" s="26" t="str">
        <f>IF('Fee Receipt (Class-wise)'!C9="", "", 'Fee Receipt (Class-wise)'!C9)</f>
        <v>AGBOVI ELIZAH</v>
      </c>
      <c r="D10" s="25">
        <f>'Fee Receipt (Class-wise)'!K9</f>
        <v>0</v>
      </c>
      <c r="E10" s="23"/>
      <c r="F10" s="25">
        <v>35</v>
      </c>
      <c r="G10" s="26" t="str">
        <f>IF('Fee Receipt (Class-wise)'!C39="", "", 'Fee Receipt (Class-wise)'!C39)</f>
        <v/>
      </c>
      <c r="H10" s="25">
        <f>'Fee Receipt (Class-wise)'!K39</f>
        <v>650</v>
      </c>
      <c r="I10" s="23"/>
    </row>
    <row r="11" spans="1:10" ht="14.45" customHeight="1">
      <c r="A11" s="35"/>
      <c r="B11" s="25">
        <v>6</v>
      </c>
      <c r="C11" s="26" t="str">
        <f>IF('Fee Receipt (Class-wise)'!C10="", "", 'Fee Receipt (Class-wise)'!C10)</f>
        <v>AHORLU JAYDEN BILLINGS</v>
      </c>
      <c r="D11" s="25">
        <f>'Fee Receipt (Class-wise)'!K10</f>
        <v>0</v>
      </c>
      <c r="E11" s="23"/>
      <c r="F11" s="25">
        <v>36</v>
      </c>
      <c r="G11" s="26" t="str">
        <f>IF('Fee Receipt (Class-wise)'!C40="", "", 'Fee Receipt (Class-wise)'!C40)</f>
        <v/>
      </c>
      <c r="H11" s="25">
        <f>'Fee Receipt (Class-wise)'!K40</f>
        <v>650</v>
      </c>
      <c r="I11" s="23"/>
    </row>
    <row r="12" spans="1:10" ht="14.45" customHeight="1">
      <c r="A12" s="35"/>
      <c r="B12" s="25">
        <v>7</v>
      </c>
      <c r="C12" s="26" t="str">
        <f>IF('Fee Receipt (Class-wise)'!C11="", "", 'Fee Receipt (Class-wise)'!C11)</f>
        <v>ALORWUYIE FOLI X GIDEON</v>
      </c>
      <c r="D12" s="25">
        <f>'Fee Receipt (Class-wise)'!K11</f>
        <v>0</v>
      </c>
      <c r="E12" s="23"/>
      <c r="F12" s="25">
        <v>37</v>
      </c>
      <c r="G12" s="26" t="str">
        <f>IF('Fee Receipt (Class-wise)'!C41="", "", 'Fee Receipt (Class-wise)'!C41)</f>
        <v/>
      </c>
      <c r="H12" s="25">
        <f>'Fee Receipt (Class-wise)'!K41</f>
        <v>650</v>
      </c>
      <c r="I12" s="23"/>
    </row>
    <row r="13" spans="1:10" ht="14.45" customHeight="1">
      <c r="A13" s="35"/>
      <c r="B13" s="25">
        <v>8</v>
      </c>
      <c r="C13" s="26" t="str">
        <f>IF('Fee Receipt (Class-wise)'!C12="", "", 'Fee Receipt (Class-wise)'!C12)</f>
        <v>AMISSAH NKUNIM ELEANOR</v>
      </c>
      <c r="D13" s="25">
        <f>'Fee Receipt (Class-wise)'!K12</f>
        <v>0</v>
      </c>
      <c r="E13" s="23"/>
      <c r="F13" s="25">
        <v>38</v>
      </c>
      <c r="G13" s="26" t="str">
        <f>IF('Fee Receipt (Class-wise)'!C42="", "", 'Fee Receipt (Class-wise)'!C42)</f>
        <v/>
      </c>
      <c r="H13" s="25">
        <f>'Fee Receipt (Class-wise)'!K42</f>
        <v>650</v>
      </c>
      <c r="I13" s="23"/>
    </row>
    <row r="14" spans="1:10" ht="14.45" customHeight="1">
      <c r="A14" s="35"/>
      <c r="B14" s="25">
        <v>9</v>
      </c>
      <c r="C14" s="26" t="str">
        <f>IF('Fee Receipt (Class-wise)'!C13="", "", 'Fee Receipt (Class-wise)'!C13)</f>
        <v>ARTHUR ABOAGYE BILLINGS</v>
      </c>
      <c r="D14" s="25">
        <f>'Fee Receipt (Class-wise)'!K13</f>
        <v>650</v>
      </c>
      <c r="E14" s="23"/>
      <c r="F14" s="25">
        <v>39</v>
      </c>
      <c r="G14" s="26" t="str">
        <f>IF('Fee Receipt (Class-wise)'!C43="", "", 'Fee Receipt (Class-wise)'!C43)</f>
        <v/>
      </c>
      <c r="H14" s="25">
        <f>'Fee Receipt (Class-wise)'!K43</f>
        <v>650</v>
      </c>
      <c r="I14" s="23"/>
    </row>
    <row r="15" spans="1:10" ht="14.45" customHeight="1">
      <c r="A15" s="35"/>
      <c r="B15" s="25">
        <v>10</v>
      </c>
      <c r="C15" s="26" t="str">
        <f>IF('Fee Receipt (Class-wise)'!C14="", "", 'Fee Receipt (Class-wise)'!C14)</f>
        <v>AVISON SELORM</v>
      </c>
      <c r="D15" s="25">
        <f>'Fee Receipt (Class-wise)'!K14</f>
        <v>0</v>
      </c>
      <c r="E15" s="23"/>
      <c r="F15" s="25">
        <v>40</v>
      </c>
      <c r="G15" s="26" t="str">
        <f>IF('Fee Receipt (Class-wise)'!C44="", "", 'Fee Receipt (Class-wise)'!C44)</f>
        <v/>
      </c>
      <c r="H15" s="25">
        <f>'Fee Receipt (Class-wise)'!K44</f>
        <v>650</v>
      </c>
      <c r="I15" s="23"/>
    </row>
    <row r="16" spans="1:10" ht="14.45" customHeight="1">
      <c r="A16" s="35"/>
      <c r="B16" s="25">
        <v>11</v>
      </c>
      <c r="C16" s="26" t="str">
        <f>IF('Fee Receipt (Class-wise)'!C15="", "", 'Fee Receipt (Class-wise)'!C15)</f>
        <v>BOADI SOLOMON</v>
      </c>
      <c r="D16" s="25">
        <f>'Fee Receipt (Class-wise)'!K15</f>
        <v>200</v>
      </c>
      <c r="E16" s="23"/>
      <c r="F16" s="25">
        <v>41</v>
      </c>
      <c r="G16" s="26" t="str">
        <f>IF('Fee Receipt (Class-wise)'!C45="", "", 'Fee Receipt (Class-wise)'!C45)</f>
        <v/>
      </c>
      <c r="H16" s="25">
        <f>'Fee Receipt (Class-wise)'!K45</f>
        <v>650</v>
      </c>
      <c r="I16" s="23"/>
    </row>
    <row r="17" spans="1:9" ht="14.45" customHeight="1">
      <c r="A17" s="35"/>
      <c r="B17" s="25">
        <v>12</v>
      </c>
      <c r="C17" s="26" t="str">
        <f>IF('Fee Receipt (Class-wise)'!C16="", "", 'Fee Receipt (Class-wise)'!C16)</f>
        <v>DANQUAH BENYI DAVINA</v>
      </c>
      <c r="D17" s="25">
        <f>'Fee Receipt (Class-wise)'!K16</f>
        <v>650</v>
      </c>
      <c r="E17" s="23"/>
      <c r="F17" s="25">
        <v>42</v>
      </c>
      <c r="G17" s="26" t="str">
        <f>IF('Fee Receipt (Class-wise)'!C46="", "", 'Fee Receipt (Class-wise)'!C46)</f>
        <v/>
      </c>
      <c r="H17" s="25">
        <f>'Fee Receipt (Class-wise)'!K46</f>
        <v>650</v>
      </c>
      <c r="I17" s="23"/>
    </row>
    <row r="18" spans="1:9" ht="14.45" customHeight="1">
      <c r="A18" s="35"/>
      <c r="B18" s="25">
        <v>13</v>
      </c>
      <c r="C18" s="26" t="str">
        <f>IF('Fee Receipt (Class-wise)'!C17="", "", 'Fee Receipt (Class-wise)'!C17)</f>
        <v>DZOKOTO BERNICE</v>
      </c>
      <c r="D18" s="25">
        <f>'Fee Receipt (Class-wise)'!K17</f>
        <v>650</v>
      </c>
      <c r="E18" s="23"/>
      <c r="F18" s="25">
        <v>43</v>
      </c>
      <c r="G18" s="26" t="str">
        <f>IF('Fee Receipt (Class-wise)'!C47="", "", 'Fee Receipt (Class-wise)'!C47)</f>
        <v/>
      </c>
      <c r="H18" s="25">
        <f>'Fee Receipt (Class-wise)'!K47</f>
        <v>650</v>
      </c>
      <c r="I18" s="23"/>
    </row>
    <row r="19" spans="1:9" ht="14.45" customHeight="1">
      <c r="A19" s="35"/>
      <c r="B19" s="25">
        <v>14</v>
      </c>
      <c r="C19" s="26" t="str">
        <f>IF('Fee Receipt (Class-wise)'!C100="", "", 'Fee Receipt (Class-wise)'!C100)</f>
        <v>TSIKATA MAKAFUI JEFFERY</v>
      </c>
      <c r="D19" s="25">
        <f>'Fee Receipt (Class-wise)'!K18</f>
        <v>0</v>
      </c>
      <c r="E19" s="23"/>
      <c r="F19" s="25">
        <v>44</v>
      </c>
      <c r="G19" s="26" t="str">
        <f>IF('Fee Receipt (Class-wise)'!C48="", "", 'Fee Receipt (Class-wise)'!C48)</f>
        <v/>
      </c>
      <c r="H19" s="25">
        <f>'Fee Receipt (Class-wise)'!K48</f>
        <v>650</v>
      </c>
      <c r="I19" s="23"/>
    </row>
    <row r="20" spans="1:9" ht="14.45" customHeight="1">
      <c r="A20" s="35"/>
      <c r="B20" s="25">
        <v>15</v>
      </c>
      <c r="C20" s="26" t="str">
        <f>IF('Fee Receipt (Class-wise)'!C19="", "", 'Fee Receipt (Class-wise)'!C19)</f>
        <v>GYAMFI BERVELYN</v>
      </c>
      <c r="D20" s="25">
        <f>'Fee Receipt (Class-wise)'!K19</f>
        <v>650</v>
      </c>
      <c r="E20" s="23"/>
      <c r="F20" s="25">
        <v>45</v>
      </c>
      <c r="G20" s="26" t="str">
        <f>IF('Fee Receipt (Class-wise)'!C49="", "", 'Fee Receipt (Class-wise)'!C49)</f>
        <v/>
      </c>
      <c r="H20" s="25">
        <f>'Fee Receipt (Class-wise)'!K49</f>
        <v>650</v>
      </c>
      <c r="I20" s="23"/>
    </row>
    <row r="21" spans="1:9" ht="14.45" customHeight="1">
      <c r="A21" s="35"/>
      <c r="B21" s="25">
        <v>16</v>
      </c>
      <c r="C21" s="26" t="str">
        <f>IF('Fee Receipt (Class-wise)'!C20="", "", 'Fee Receipt (Class-wise)'!C20)</f>
        <v>KOSIPAH JOYCELYN</v>
      </c>
      <c r="D21" s="25">
        <f>'Fee Receipt (Class-wise)'!K20</f>
        <v>650</v>
      </c>
      <c r="E21" s="23"/>
      <c r="F21" s="25">
        <v>46</v>
      </c>
      <c r="G21" s="26" t="str">
        <f>IF('Fee Receipt (Class-wise)'!C50="", "", 'Fee Receipt (Class-wise)'!C50)</f>
        <v/>
      </c>
      <c r="H21" s="25">
        <f>'Fee Receipt (Class-wise)'!K50</f>
        <v>650</v>
      </c>
      <c r="I21" s="23"/>
    </row>
    <row r="22" spans="1:9" ht="14.45" customHeight="1">
      <c r="A22" s="35"/>
      <c r="B22" s="25">
        <v>17</v>
      </c>
      <c r="C22" s="26" t="str">
        <f>IF('Fee Receipt (Class-wise)'!C21="", "", 'Fee Receipt (Class-wise)'!C21)</f>
        <v>KPELI SENAM</v>
      </c>
      <c r="D22" s="25">
        <f>'Fee Receipt (Class-wise)'!K21</f>
        <v>650</v>
      </c>
      <c r="E22" s="23"/>
      <c r="F22" s="25">
        <v>47</v>
      </c>
      <c r="G22" s="26" t="str">
        <f>IF('Fee Receipt (Class-wise)'!C51="", "", 'Fee Receipt (Class-wise)'!C51)</f>
        <v/>
      </c>
      <c r="H22" s="25">
        <f>'Fee Receipt (Class-wise)'!K51</f>
        <v>650</v>
      </c>
      <c r="I22" s="23"/>
    </row>
    <row r="23" spans="1:9" ht="14.45" customHeight="1">
      <c r="A23" s="35"/>
      <c r="B23" s="25">
        <v>18</v>
      </c>
      <c r="C23" s="26" t="str">
        <f>IF('Fee Receipt (Class-wise)'!C22="", "", 'Fee Receipt (Class-wise)'!C22)</f>
        <v>KPELI SEYRAM</v>
      </c>
      <c r="D23" s="25">
        <f>'Fee Receipt (Class-wise)'!K22</f>
        <v>650</v>
      </c>
      <c r="E23" s="23"/>
      <c r="F23" s="25">
        <v>48</v>
      </c>
      <c r="G23" s="26" t="str">
        <f>IF('Fee Receipt (Class-wise)'!C52="", "", 'Fee Receipt (Class-wise)'!C52)</f>
        <v/>
      </c>
      <c r="H23" s="25">
        <f>'Fee Receipt (Class-wise)'!K52</f>
        <v>650</v>
      </c>
      <c r="I23" s="23"/>
    </row>
    <row r="24" spans="1:9" ht="14.45" customHeight="1">
      <c r="A24" s="35"/>
      <c r="B24" s="25">
        <v>19</v>
      </c>
      <c r="C24" s="26" t="str">
        <f>IF('Fee Receipt (Class-wise)'!C23="", "", 'Fee Receipt (Class-wise)'!C23)</f>
        <v>ABABIO SEYRAM ELOISE</v>
      </c>
      <c r="D24" s="25">
        <f>'Fee Receipt (Class-wise)'!K23</f>
        <v>150</v>
      </c>
      <c r="E24" s="23"/>
      <c r="F24" s="25">
        <v>49</v>
      </c>
      <c r="G24" s="26" t="str">
        <f>IF('Fee Receipt (Class-wise)'!C53="", "", 'Fee Receipt (Class-wise)'!C53)</f>
        <v/>
      </c>
      <c r="H24" s="25">
        <f>'Fee Receipt (Class-wise)'!K53</f>
        <v>650</v>
      </c>
      <c r="I24" s="23"/>
    </row>
    <row r="25" spans="1:9" ht="14.45" customHeight="1">
      <c r="A25" s="35"/>
      <c r="B25" s="25">
        <v>20</v>
      </c>
      <c r="C25" s="26" t="str">
        <f>IF('Fee Receipt (Class-wise)'!C24="", "", 'Fee Receipt (Class-wise)'!C24)</f>
        <v>KORMEGBE JEFFERY</v>
      </c>
      <c r="D25" s="25">
        <f>'Fee Receipt (Class-wise)'!K24</f>
        <v>0</v>
      </c>
      <c r="E25" s="23"/>
      <c r="F25" s="25">
        <v>50</v>
      </c>
      <c r="G25" s="26" t="str">
        <f>IF('Fee Receipt (Class-wise)'!C54="", "", 'Fee Receipt (Class-wise)'!C54)</f>
        <v/>
      </c>
      <c r="H25" s="25">
        <f>'Fee Receipt (Class-wise)'!K54</f>
        <v>650</v>
      </c>
      <c r="I25" s="23"/>
    </row>
    <row r="26" spans="1:9" ht="14.45" customHeight="1">
      <c r="A26" s="35"/>
      <c r="B26" s="25">
        <v>21</v>
      </c>
      <c r="C26" s="26" t="str">
        <f>IF('Fee Receipt (Class-wise)'!C25="", "", 'Fee Receipt (Class-wise)'!C25)</f>
        <v>OSMAN KADIJAH</v>
      </c>
      <c r="D26" s="25">
        <f>'Fee Receipt (Class-wise)'!K25</f>
        <v>650</v>
      </c>
      <c r="E26" s="23"/>
      <c r="F26" s="25">
        <v>51</v>
      </c>
      <c r="G26" s="26" t="str">
        <f>IF('Fee Receipt (Class-wise)'!C55="", "", 'Fee Receipt (Class-wise)'!C55)</f>
        <v/>
      </c>
      <c r="H26" s="25">
        <f>'Fee Receipt (Class-wise)'!K55</f>
        <v>650</v>
      </c>
      <c r="I26" s="23"/>
    </row>
    <row r="27" spans="1:9" ht="14.45" customHeight="1">
      <c r="A27" s="35"/>
      <c r="B27" s="25">
        <v>22</v>
      </c>
      <c r="C27" s="26" t="str">
        <f>IF('Fee Receipt (Class-wise)'!C26="", "", 'Fee Receipt (Class-wise)'!C26)</f>
        <v>QUANSAH DIGNITY</v>
      </c>
      <c r="D27" s="25">
        <f>'Fee Receipt (Class-wise)'!K26</f>
        <v>250</v>
      </c>
      <c r="E27" s="23"/>
      <c r="F27" s="25">
        <v>52</v>
      </c>
      <c r="G27" s="26" t="str">
        <f>IF('Fee Receipt (Class-wise)'!C56="", "", 'Fee Receipt (Class-wise)'!C56)</f>
        <v/>
      </c>
      <c r="H27" s="25">
        <f>'Fee Receipt (Class-wise)'!K56</f>
        <v>650</v>
      </c>
      <c r="I27" s="23"/>
    </row>
    <row r="28" spans="1:9" ht="14.45" customHeight="1">
      <c r="A28" s="35"/>
      <c r="B28" s="25">
        <v>23</v>
      </c>
      <c r="C28" s="26" t="str">
        <f>IF('Fee Receipt (Class-wise)'!C27="", "", 'Fee Receipt (Class-wise)'!C27)</f>
        <v>SADIQ SHAREEF</v>
      </c>
      <c r="D28" s="25">
        <f>'Fee Receipt (Class-wise)'!K27</f>
        <v>650</v>
      </c>
      <c r="E28" s="23"/>
      <c r="F28" s="25">
        <v>53</v>
      </c>
      <c r="G28" s="26" t="str">
        <f>IF('Fee Receipt (Class-wise)'!C57="", "", 'Fee Receipt (Class-wise)'!C57)</f>
        <v/>
      </c>
      <c r="H28" s="25">
        <f>'Fee Receipt (Class-wise)'!K57</f>
        <v>650</v>
      </c>
      <c r="I28" s="23"/>
    </row>
    <row r="29" spans="1:9" ht="14.45" customHeight="1">
      <c r="A29" s="35"/>
      <c r="B29" s="25">
        <v>24</v>
      </c>
      <c r="C29" s="26" t="str">
        <f>IF('Fee Receipt (Class-wise)'!C28="", "", 'Fee Receipt (Class-wise)'!C28)</f>
        <v>WIREKO ELIANNA</v>
      </c>
      <c r="D29" s="25">
        <f>'Fee Receipt (Class-wise)'!K28</f>
        <v>0</v>
      </c>
      <c r="E29" s="23"/>
      <c r="F29" s="25">
        <v>54</v>
      </c>
      <c r="G29" s="26" t="str">
        <f>IF('Fee Receipt (Class-wise)'!C58="", "", 'Fee Receipt (Class-wise)'!C58)</f>
        <v/>
      </c>
      <c r="H29" s="25">
        <f>'Fee Receipt (Class-wise)'!K58</f>
        <v>650</v>
      </c>
      <c r="I29" s="23"/>
    </row>
    <row r="30" spans="1:9" ht="14.45" customHeight="1">
      <c r="A30" s="35"/>
      <c r="B30" s="25">
        <v>25</v>
      </c>
      <c r="C30" s="26" t="str">
        <f>IF('Fee Receipt (Class-wise)'!C29="", "", 'Fee Receipt (Class-wise)'!C29)</f>
        <v/>
      </c>
      <c r="D30" s="25">
        <f>'Fee Receipt (Class-wise)'!K29</f>
        <v>650</v>
      </c>
      <c r="E30" s="23"/>
      <c r="F30" s="25">
        <v>55</v>
      </c>
      <c r="G30" s="26" t="str">
        <f>IF('Fee Receipt (Class-wise)'!C59="", "", 'Fee Receipt (Class-wise)'!C59)</f>
        <v/>
      </c>
      <c r="H30" s="25">
        <f>'Fee Receipt (Class-wise)'!K59</f>
        <v>650</v>
      </c>
      <c r="I30" s="23"/>
    </row>
    <row r="31" spans="1:9" ht="14.45" customHeight="1">
      <c r="A31" s="35"/>
      <c r="B31" s="25">
        <v>26</v>
      </c>
      <c r="C31" s="26" t="str">
        <f>IF('Fee Receipt (Class-wise)'!C30="", "", 'Fee Receipt (Class-wise)'!C30)</f>
        <v/>
      </c>
      <c r="D31" s="25">
        <f>'Fee Receipt (Class-wise)'!K30</f>
        <v>650</v>
      </c>
      <c r="E31" s="23"/>
      <c r="F31" s="25">
        <v>56</v>
      </c>
      <c r="G31" s="26" t="str">
        <f>IF('Fee Receipt (Class-wise)'!C60="", "", 'Fee Receipt (Class-wise)'!C60)</f>
        <v/>
      </c>
      <c r="H31" s="25">
        <f>'Fee Receipt (Class-wise)'!K60</f>
        <v>650</v>
      </c>
      <c r="I31" s="23"/>
    </row>
    <row r="32" spans="1:9" ht="14.45" customHeight="1">
      <c r="A32" s="35"/>
      <c r="B32" s="25">
        <v>27</v>
      </c>
      <c r="C32" s="26" t="str">
        <f>IF('Fee Receipt (Class-wise)'!C31="", "", 'Fee Receipt (Class-wise)'!C31)</f>
        <v/>
      </c>
      <c r="D32" s="25">
        <f>'Fee Receipt (Class-wise)'!K31</f>
        <v>650</v>
      </c>
      <c r="E32" s="23"/>
      <c r="F32" s="25">
        <v>57</v>
      </c>
      <c r="G32" s="26" t="str">
        <f>IF('Fee Receipt (Class-wise)'!C61="", "", 'Fee Receipt (Class-wise)'!C61)</f>
        <v/>
      </c>
      <c r="H32" s="25">
        <f>'Fee Receipt (Class-wise)'!K61</f>
        <v>650</v>
      </c>
      <c r="I32" s="23"/>
    </row>
    <row r="33" spans="1:9" ht="14.25" customHeight="1">
      <c r="A33" s="35"/>
      <c r="B33" s="25">
        <v>28</v>
      </c>
      <c r="C33" s="26" t="str">
        <f>IF('Fee Receipt (Class-wise)'!C32="", "", 'Fee Receipt (Class-wise)'!C32)</f>
        <v/>
      </c>
      <c r="D33" s="25">
        <f>'Fee Receipt (Class-wise)'!K32</f>
        <v>650</v>
      </c>
      <c r="E33" s="23"/>
      <c r="F33" s="25">
        <v>58</v>
      </c>
      <c r="G33" s="26" t="str">
        <f>IF('Fee Receipt (Class-wise)'!C62="", "", 'Fee Receipt (Class-wise)'!C62)</f>
        <v/>
      </c>
      <c r="H33" s="25">
        <f>'Fee Receipt (Class-wise)'!K62</f>
        <v>650</v>
      </c>
      <c r="I33" s="23"/>
    </row>
    <row r="34" spans="1:9" ht="14.25" customHeight="1">
      <c r="A34" s="35"/>
      <c r="B34" s="25">
        <v>29</v>
      </c>
      <c r="C34" s="26" t="str">
        <f>IF('Fee Receipt (Class-wise)'!C33="", "", 'Fee Receipt (Class-wise)'!C33)</f>
        <v/>
      </c>
      <c r="D34" s="25">
        <f>'Fee Receipt (Class-wise)'!K33</f>
        <v>650</v>
      </c>
      <c r="E34" s="23"/>
      <c r="F34" s="25">
        <v>59</v>
      </c>
      <c r="G34" s="26" t="str">
        <f>IF('Fee Receipt (Class-wise)'!C63="", "", 'Fee Receipt (Class-wise)'!C63)</f>
        <v/>
      </c>
      <c r="H34" s="25">
        <f>'Fee Receipt (Class-wise)'!K63</f>
        <v>650</v>
      </c>
      <c r="I34" s="23"/>
    </row>
    <row r="35" spans="1:9" ht="14.25" customHeight="1">
      <c r="A35" s="35"/>
      <c r="B35" s="25">
        <v>30</v>
      </c>
      <c r="C35" s="26" t="str">
        <f>IF('Fee Receipt (Class-wise)'!C34="", "", 'Fee Receipt (Class-wise)'!C34)</f>
        <v/>
      </c>
      <c r="D35" s="25">
        <f>'Fee Receipt (Class-wise)'!K34</f>
        <v>650</v>
      </c>
      <c r="E35" s="23"/>
      <c r="F35" s="25">
        <v>60</v>
      </c>
      <c r="G35" s="26" t="str">
        <f>IF('Fee Receipt (Class-wise)'!C64="", "", 'Fee Receipt (Class-wise)'!C64)</f>
        <v/>
      </c>
      <c r="H35" s="25">
        <f>'Fee Receipt (Class-wise)'!K64</f>
        <v>650</v>
      </c>
      <c r="I35" s="23"/>
    </row>
    <row r="36" spans="1:9" ht="14.25" customHeight="1">
      <c r="A36" s="35"/>
      <c r="B36" s="25"/>
      <c r="C36" s="23"/>
      <c r="D36" s="23"/>
      <c r="E36" s="23"/>
      <c r="F36" s="33" t="s">
        <v>31</v>
      </c>
      <c r="G36" s="33"/>
      <c r="H36" s="24">
        <f>SUM(D6:D35)+SUM(H6:H24)</f>
        <v>23990</v>
      </c>
      <c r="I36" s="23"/>
    </row>
    <row r="37" spans="1:9" ht="14.25" customHeight="1">
      <c r="B37" s="23"/>
      <c r="C37" s="23"/>
      <c r="D37" s="23"/>
      <c r="E37" s="23"/>
      <c r="F37" s="23"/>
      <c r="G37" s="23"/>
      <c r="H37" s="23"/>
      <c r="I37" s="23"/>
    </row>
    <row r="38" spans="1:9" ht="14.45" customHeight="1">
      <c r="B38" s="23"/>
      <c r="C38" s="23"/>
      <c r="D38" s="23"/>
      <c r="E38" s="23"/>
      <c r="F38" s="23"/>
      <c r="G38" s="23"/>
      <c r="H38" s="23"/>
      <c r="I38" s="23"/>
    </row>
    <row r="39" spans="1:9" ht="14.45" customHeight="1">
      <c r="A39" s="49">
        <v>2</v>
      </c>
      <c r="B39" s="35" t="s">
        <v>33</v>
      </c>
      <c r="C39" s="35"/>
      <c r="D39" s="35"/>
      <c r="E39" s="35"/>
      <c r="F39" s="35"/>
      <c r="G39" s="35"/>
      <c r="H39" s="24" t="s">
        <v>36</v>
      </c>
      <c r="I39" s="23"/>
    </row>
    <row r="40" spans="1:9" ht="14.45" customHeight="1">
      <c r="A40" s="49"/>
      <c r="B40" s="23" t="s">
        <v>35</v>
      </c>
      <c r="C40" s="50" t="str">
        <f>IF('Fee Receipt (Class-wise)'!C69="", "", 'Fee Receipt (Class-wise)'!C69)</f>
        <v>Nur-1</v>
      </c>
      <c r="D40" s="50"/>
      <c r="E40" s="23"/>
      <c r="F40" s="23"/>
      <c r="G40" s="23"/>
      <c r="H40" s="49">
        <f>IF(C40="", "", H73)</f>
        <v>8950</v>
      </c>
      <c r="I40" s="23"/>
    </row>
    <row r="41" spans="1:9" ht="14.45" customHeight="1">
      <c r="A41" s="49"/>
      <c r="B41" s="23" t="s">
        <v>34</v>
      </c>
      <c r="C41" s="50" t="str">
        <f>IF(C40="", "", 'Fee Receipt (Class-wise)'!$H$2)</f>
        <v>2025-26</v>
      </c>
      <c r="D41" s="50"/>
      <c r="E41" s="23"/>
      <c r="F41" s="23"/>
      <c r="G41" s="23"/>
      <c r="H41" s="49"/>
      <c r="I41" s="23"/>
    </row>
    <row r="42" spans="1:9" ht="14.45" customHeight="1">
      <c r="A42" s="35"/>
      <c r="B42" s="25" t="s">
        <v>1</v>
      </c>
      <c r="C42" s="25" t="s">
        <v>2</v>
      </c>
      <c r="D42" s="25" t="s">
        <v>9</v>
      </c>
      <c r="E42" s="23"/>
      <c r="F42" s="25" t="s">
        <v>1</v>
      </c>
      <c r="G42" s="25" t="s">
        <v>2</v>
      </c>
      <c r="H42" s="25" t="s">
        <v>9</v>
      </c>
      <c r="I42" s="23"/>
    </row>
    <row r="43" spans="1:9" ht="14.45" customHeight="1">
      <c r="A43" s="35"/>
      <c r="B43" s="25">
        <v>1</v>
      </c>
      <c r="C43" s="26" t="str">
        <f>'Fee Receipt (Class-wise)'!C72</f>
        <v>ABDUL AZIZ MARIAM</v>
      </c>
      <c r="D43" s="25">
        <f>'Fee Receipt (Class-wise)'!K72</f>
        <v>350</v>
      </c>
      <c r="E43" s="23"/>
      <c r="F43" s="25">
        <v>31</v>
      </c>
      <c r="G43" s="26">
        <f>'Fee Receipt (Class-wise)'!C102</f>
        <v>0</v>
      </c>
      <c r="H43" s="25">
        <f>'Fee Receipt (Class-wise)'!K102</f>
        <v>650</v>
      </c>
      <c r="I43" s="23"/>
    </row>
    <row r="44" spans="1:9" ht="14.45" customHeight="1">
      <c r="A44" s="35"/>
      <c r="B44" s="25">
        <v>2</v>
      </c>
      <c r="C44" s="26" t="str">
        <f>'Fee Receipt (Class-wise)'!C73</f>
        <v>ADDY CHRITOPHER</v>
      </c>
      <c r="D44" s="25">
        <f>'Fee Receipt (Class-wise)'!K73</f>
        <v>650</v>
      </c>
      <c r="E44" s="23"/>
      <c r="F44" s="25">
        <v>32</v>
      </c>
      <c r="G44" s="26">
        <f>'Fee Receipt (Class-wise)'!C103</f>
        <v>0</v>
      </c>
      <c r="H44" s="25">
        <f>'Fee Receipt (Class-wise)'!K103</f>
        <v>650</v>
      </c>
      <c r="I44" s="23"/>
    </row>
    <row r="45" spans="1:9" ht="14.45" customHeight="1">
      <c r="A45" s="35"/>
      <c r="B45" s="25">
        <v>3</v>
      </c>
      <c r="C45" s="26" t="str">
        <f>'Fee Receipt (Class-wise)'!C74</f>
        <v>AFLAKPUI LIVINGST0NE</v>
      </c>
      <c r="D45" s="25">
        <f>'Fee Receipt (Class-wise)'!K74</f>
        <v>0</v>
      </c>
      <c r="E45" s="23"/>
      <c r="F45" s="25">
        <v>33</v>
      </c>
      <c r="G45" s="26">
        <f>'Fee Receipt (Class-wise)'!C104</f>
        <v>0</v>
      </c>
      <c r="H45" s="25">
        <f>'Fee Receipt (Class-wise)'!K104</f>
        <v>650</v>
      </c>
      <c r="I45" s="23"/>
    </row>
    <row r="46" spans="1:9" ht="14.45" customHeight="1">
      <c r="A46" s="35"/>
      <c r="B46" s="25">
        <v>4</v>
      </c>
      <c r="C46" s="26" t="str">
        <f>'Fee Receipt (Class-wise)'!C75</f>
        <v>AHENKORAH PENIELLA</v>
      </c>
      <c r="D46" s="25">
        <f>'Fee Receipt (Class-wise)'!K75</f>
        <v>0</v>
      </c>
      <c r="E46" s="23"/>
      <c r="F46" s="25">
        <v>34</v>
      </c>
      <c r="G46" s="26">
        <f>'Fee Receipt (Class-wise)'!C105</f>
        <v>0</v>
      </c>
      <c r="H46" s="25">
        <f>'Fee Receipt (Class-wise)'!K105</f>
        <v>650</v>
      </c>
      <c r="I46" s="23"/>
    </row>
    <row r="47" spans="1:9" ht="14.45" customHeight="1">
      <c r="A47" s="35"/>
      <c r="B47" s="25">
        <v>5</v>
      </c>
      <c r="C47" s="26" t="str">
        <f>'Fee Receipt (Class-wise)'!C76</f>
        <v>AHOTO GIDEON</v>
      </c>
      <c r="D47" s="25">
        <f>'Fee Receipt (Class-wise)'!K76</f>
        <v>400</v>
      </c>
      <c r="E47" s="23"/>
      <c r="F47" s="25">
        <v>35</v>
      </c>
      <c r="G47" s="26">
        <f>'Fee Receipt (Class-wise)'!C106</f>
        <v>0</v>
      </c>
      <c r="H47" s="25">
        <f>'Fee Receipt (Class-wise)'!K106</f>
        <v>650</v>
      </c>
      <c r="I47" s="23"/>
    </row>
    <row r="48" spans="1:9" ht="14.45" customHeight="1">
      <c r="A48" s="35"/>
      <c r="B48" s="25">
        <v>6</v>
      </c>
      <c r="C48" s="26" t="str">
        <f>'Fee Receipt (Class-wise)'!C77</f>
        <v>AKORTIA ADU ERICA</v>
      </c>
      <c r="D48" s="25">
        <f>'Fee Receipt (Class-wise)'!K77</f>
        <v>350</v>
      </c>
      <c r="E48" s="23"/>
      <c r="F48" s="25">
        <v>36</v>
      </c>
      <c r="G48" s="26">
        <f>'Fee Receipt (Class-wise)'!C107</f>
        <v>0</v>
      </c>
      <c r="H48" s="25">
        <f>'Fee Receipt (Class-wise)'!K107</f>
        <v>650</v>
      </c>
      <c r="I48" s="23"/>
    </row>
    <row r="49" spans="1:9" ht="14.45" customHeight="1">
      <c r="A49" s="35"/>
      <c r="B49" s="25">
        <v>7</v>
      </c>
      <c r="C49" s="26" t="str">
        <f>'Fee Receipt (Class-wise)'!C78</f>
        <v>AMOAKO MAWULORM GRACE</v>
      </c>
      <c r="D49" s="25">
        <f>'Fee Receipt (Class-wise)'!K78</f>
        <v>50</v>
      </c>
      <c r="E49" s="23"/>
      <c r="F49" s="25">
        <v>37</v>
      </c>
      <c r="G49" s="26">
        <f>'Fee Receipt (Class-wise)'!C108</f>
        <v>0</v>
      </c>
      <c r="H49" s="25">
        <f>'Fee Receipt (Class-wise)'!K108</f>
        <v>650</v>
      </c>
      <c r="I49" s="23"/>
    </row>
    <row r="50" spans="1:9" ht="14.45" customHeight="1">
      <c r="A50" s="35"/>
      <c r="B50" s="25">
        <v>8</v>
      </c>
      <c r="C50" s="26" t="str">
        <f>'Fee Receipt (Class-wise)'!C165</f>
        <v>OTOO SAMUEL</v>
      </c>
      <c r="D50" s="25">
        <f>'Fee Receipt (Class-wise)'!K79</f>
        <v>650</v>
      </c>
      <c r="E50" s="23"/>
      <c r="F50" s="25">
        <v>38</v>
      </c>
      <c r="G50" s="26">
        <f>'Fee Receipt (Class-wise)'!C109</f>
        <v>0</v>
      </c>
      <c r="H50" s="25">
        <f>'Fee Receipt (Class-wise)'!K109</f>
        <v>650</v>
      </c>
      <c r="I50" s="23"/>
    </row>
    <row r="51" spans="1:9" ht="14.45" customHeight="1">
      <c r="A51" s="35"/>
      <c r="B51" s="25">
        <v>9</v>
      </c>
      <c r="C51" s="26" t="str">
        <f>'Fee Receipt (Class-wise)'!C80</f>
        <v>ANTWI JOSEPH</v>
      </c>
      <c r="D51" s="25">
        <f>'Fee Receipt (Class-wise)'!K80</f>
        <v>650</v>
      </c>
      <c r="E51" s="23"/>
      <c r="F51" s="25">
        <v>39</v>
      </c>
      <c r="G51" s="26">
        <f>'Fee Receipt (Class-wise)'!C110</f>
        <v>0</v>
      </c>
      <c r="H51" s="25">
        <f>'Fee Receipt (Class-wise)'!K110</f>
        <v>650</v>
      </c>
      <c r="I51" s="23"/>
    </row>
    <row r="52" spans="1:9" ht="14.45" customHeight="1">
      <c r="A52" s="35"/>
      <c r="B52" s="25">
        <v>10</v>
      </c>
      <c r="C52" s="26" t="str">
        <f>'Fee Receipt (Class-wise)'!C81</f>
        <v>ATTIOGBE AIDEN DZIDULA</v>
      </c>
      <c r="D52" s="25">
        <f>'Fee Receipt (Class-wise)'!K81</f>
        <v>400</v>
      </c>
      <c r="E52" s="23"/>
      <c r="F52" s="25">
        <v>40</v>
      </c>
      <c r="G52" s="26">
        <f>'Fee Receipt (Class-wise)'!C111</f>
        <v>0</v>
      </c>
      <c r="H52" s="25">
        <f>'Fee Receipt (Class-wise)'!K111</f>
        <v>650</v>
      </c>
      <c r="I52" s="23"/>
    </row>
    <row r="53" spans="1:9" ht="14.45" customHeight="1">
      <c r="A53" s="35"/>
      <c r="B53" s="25">
        <v>11</v>
      </c>
      <c r="C53" s="26" t="str">
        <f>'Fee Receipt (Class-wise)'!C82</f>
        <v>EYITI KESTER</v>
      </c>
      <c r="D53" s="25">
        <f>'Fee Receipt (Class-wise)'!K82</f>
        <v>350</v>
      </c>
      <c r="E53" s="23"/>
      <c r="F53" s="25">
        <v>41</v>
      </c>
      <c r="G53" s="26">
        <f>'Fee Receipt (Class-wise)'!C112</f>
        <v>0</v>
      </c>
      <c r="H53" s="25">
        <f>'Fee Receipt (Class-wise)'!K112</f>
        <v>650</v>
      </c>
      <c r="I53" s="23"/>
    </row>
    <row r="54" spans="1:9" ht="14.45" customHeight="1">
      <c r="A54" s="35"/>
      <c r="B54" s="25">
        <v>12</v>
      </c>
      <c r="C54" s="26" t="str">
        <f>'Fee Receipt (Class-wise)'!C83</f>
        <v>DARKO ZOEY</v>
      </c>
      <c r="D54" s="25">
        <f>'Fee Receipt (Class-wise)'!K83</f>
        <v>650</v>
      </c>
      <c r="E54" s="23"/>
      <c r="F54" s="25">
        <v>42</v>
      </c>
      <c r="G54" s="26">
        <f>'Fee Receipt (Class-wise)'!C113</f>
        <v>0</v>
      </c>
      <c r="H54" s="25">
        <f>'Fee Receipt (Class-wise)'!K113</f>
        <v>650</v>
      </c>
      <c r="I54" s="23"/>
    </row>
    <row r="55" spans="1:9" ht="14.45" customHeight="1">
      <c r="A55" s="35"/>
      <c r="B55" s="25">
        <v>13</v>
      </c>
      <c r="C55" s="26" t="str">
        <f>'Fee Receipt (Class-wise)'!C84</f>
        <v>DZINADO JOY</v>
      </c>
      <c r="D55" s="25">
        <f>'Fee Receipt (Class-wise)'!K84</f>
        <v>650</v>
      </c>
      <c r="E55" s="23"/>
      <c r="F55" s="25">
        <v>43</v>
      </c>
      <c r="G55" s="26">
        <f>'Fee Receipt (Class-wise)'!C114</f>
        <v>0</v>
      </c>
      <c r="H55" s="25">
        <f>'Fee Receipt (Class-wise)'!K114</f>
        <v>650</v>
      </c>
      <c r="I55" s="23"/>
    </row>
    <row r="56" spans="1:9" ht="14.45" customHeight="1">
      <c r="A56" s="35"/>
      <c r="B56" s="25">
        <v>14</v>
      </c>
      <c r="C56" s="26" t="str">
        <f>'Fee Receipt (Class-wise)'!C85</f>
        <v>IBRAHIM-RAZAK ATTIYATULLAH</v>
      </c>
      <c r="D56" s="25">
        <f>'Fee Receipt (Class-wise)'!K85</f>
        <v>0</v>
      </c>
      <c r="E56" s="23"/>
      <c r="F56" s="25">
        <v>44</v>
      </c>
      <c r="G56" s="26">
        <f>'Fee Receipt (Class-wise)'!C115</f>
        <v>0</v>
      </c>
      <c r="H56" s="25">
        <f>'Fee Receipt (Class-wise)'!K115</f>
        <v>650</v>
      </c>
      <c r="I56" s="23"/>
    </row>
    <row r="57" spans="1:9" ht="14.45" customHeight="1">
      <c r="A57" s="35"/>
      <c r="B57" s="25">
        <v>15</v>
      </c>
      <c r="C57" s="26" t="str">
        <f>'Fee Receipt (Class-wise)'!C86</f>
        <v>KUMI ASEYE PHOEBE</v>
      </c>
      <c r="D57" s="25">
        <f>'Fee Receipt (Class-wise)'!K86</f>
        <v>350</v>
      </c>
      <c r="E57" s="23"/>
      <c r="F57" s="25">
        <v>45</v>
      </c>
      <c r="G57" s="26">
        <f>'Fee Receipt (Class-wise)'!C116</f>
        <v>0</v>
      </c>
      <c r="H57" s="25">
        <f>'Fee Receipt (Class-wise)'!K116</f>
        <v>650</v>
      </c>
      <c r="I57" s="23"/>
    </row>
    <row r="58" spans="1:9" ht="14.45" customHeight="1">
      <c r="A58" s="35"/>
      <c r="B58" s="25">
        <v>16</v>
      </c>
      <c r="C58" s="26" t="str">
        <f>'Fee Receipt (Class-wise)'!C87</f>
        <v>KWOFFIE JOKELIN</v>
      </c>
      <c r="D58" s="25">
        <f>'Fee Receipt (Class-wise)'!K87</f>
        <v>0</v>
      </c>
      <c r="E58" s="23"/>
      <c r="F58" s="25">
        <v>46</v>
      </c>
      <c r="G58" s="26">
        <f>'Fee Receipt (Class-wise)'!C117</f>
        <v>0</v>
      </c>
      <c r="H58" s="25">
        <f>'Fee Receipt (Class-wise)'!K117</f>
        <v>650</v>
      </c>
      <c r="I58" s="23"/>
    </row>
    <row r="59" spans="1:9" ht="14.45" customHeight="1">
      <c r="A59" s="35"/>
      <c r="B59" s="25">
        <v>17</v>
      </c>
      <c r="C59" s="26" t="str">
        <f>'Fee Receipt (Class-wise)'!C88</f>
        <v>LUKMAN SALIMA HUMMU</v>
      </c>
      <c r="D59" s="25">
        <f>'Fee Receipt (Class-wise)'!K88</f>
        <v>400</v>
      </c>
      <c r="E59" s="23"/>
      <c r="F59" s="25">
        <v>47</v>
      </c>
      <c r="G59" s="26">
        <f>'Fee Receipt (Class-wise)'!C118</f>
        <v>0</v>
      </c>
      <c r="H59" s="25">
        <f>'Fee Receipt (Class-wise)'!K118</f>
        <v>650</v>
      </c>
      <c r="I59" s="23"/>
    </row>
    <row r="60" spans="1:9" ht="14.45" customHeight="1">
      <c r="A60" s="35"/>
      <c r="B60" s="25">
        <v>18</v>
      </c>
      <c r="C60" s="26" t="str">
        <f>'Fee Receipt (Class-wise)'!C89</f>
        <v>MOHAMMED ZAEED</v>
      </c>
      <c r="D60" s="25">
        <f>'Fee Receipt (Class-wise)'!K89</f>
        <v>650</v>
      </c>
      <c r="E60" s="23"/>
      <c r="F60" s="25">
        <v>48</v>
      </c>
      <c r="G60" s="26">
        <f>'Fee Receipt (Class-wise)'!C119</f>
        <v>0</v>
      </c>
      <c r="H60" s="25">
        <f>'Fee Receipt (Class-wise)'!K119</f>
        <v>650</v>
      </c>
      <c r="I60" s="23"/>
    </row>
    <row r="61" spans="1:9" ht="14.45" customHeight="1">
      <c r="A61" s="35"/>
      <c r="B61" s="25">
        <v>19</v>
      </c>
      <c r="C61" s="26" t="str">
        <f>'Fee Receipt (Class-wise)'!C90</f>
        <v>NEWMAN LOVEWELL</v>
      </c>
      <c r="D61" s="25">
        <f>'Fee Receipt (Class-wise)'!K90</f>
        <v>0</v>
      </c>
      <c r="E61" s="23"/>
      <c r="F61" s="25">
        <v>49</v>
      </c>
      <c r="G61" s="26">
        <f>'Fee Receipt (Class-wise)'!C120</f>
        <v>0</v>
      </c>
      <c r="H61" s="25">
        <f>'Fee Receipt (Class-wise)'!K120</f>
        <v>650</v>
      </c>
      <c r="I61" s="23"/>
    </row>
    <row r="62" spans="1:9" ht="14.45" customHeight="1">
      <c r="A62" s="35"/>
      <c r="B62" s="25">
        <v>20</v>
      </c>
      <c r="C62" s="26" t="str">
        <f>'Fee Receipt (Class-wise)'!C91</f>
        <v>OSMAN BASAMATITI</v>
      </c>
      <c r="D62" s="25">
        <f>'Fee Receipt (Class-wise)'!K91</f>
        <v>350</v>
      </c>
      <c r="E62" s="23"/>
      <c r="F62" s="25">
        <v>50</v>
      </c>
      <c r="G62" s="26">
        <f>'Fee Receipt (Class-wise)'!C121</f>
        <v>0</v>
      </c>
      <c r="H62" s="25">
        <f>'Fee Receipt (Class-wise)'!K121</f>
        <v>650</v>
      </c>
      <c r="I62" s="23"/>
    </row>
    <row r="63" spans="1:9" ht="14.45" customHeight="1">
      <c r="A63" s="35"/>
      <c r="B63" s="25">
        <v>21</v>
      </c>
      <c r="C63" s="26" t="str">
        <f>'Fee Receipt (Class-wise)'!C92</f>
        <v>OTOO ACHINI MARY</v>
      </c>
      <c r="D63" s="25">
        <f>'Fee Receipt (Class-wise)'!K92</f>
        <v>650</v>
      </c>
      <c r="E63" s="23"/>
      <c r="F63" s="25">
        <v>51</v>
      </c>
      <c r="G63" s="26">
        <f>'Fee Receipt (Class-wise)'!C122</f>
        <v>0</v>
      </c>
      <c r="H63" s="25">
        <f>'Fee Receipt (Class-wise)'!K122</f>
        <v>650</v>
      </c>
      <c r="I63" s="23"/>
    </row>
    <row r="64" spans="1:9" ht="14.45" customHeight="1">
      <c r="A64" s="35"/>
      <c r="B64" s="25">
        <v>22</v>
      </c>
      <c r="C64" s="26" t="str">
        <f>'Fee Receipt (Class-wise)'!C93</f>
        <v>QUAYSON ANGELINA</v>
      </c>
      <c r="D64" s="25">
        <f>'Fee Receipt (Class-wise)'!K93</f>
        <v>0</v>
      </c>
      <c r="E64" s="23"/>
      <c r="F64" s="25">
        <v>52</v>
      </c>
      <c r="G64" s="26">
        <f>'Fee Receipt (Class-wise)'!C123</f>
        <v>0</v>
      </c>
      <c r="H64" s="25">
        <f>'Fee Receipt (Class-wise)'!K123</f>
        <v>650</v>
      </c>
      <c r="I64" s="23"/>
    </row>
    <row r="65" spans="1:9" ht="14.45" customHeight="1">
      <c r="A65" s="35"/>
      <c r="B65" s="25">
        <v>23</v>
      </c>
      <c r="C65" s="26" t="str">
        <f>'Fee Receipt (Class-wise)'!C94</f>
        <v>RASHID SAMIRA</v>
      </c>
      <c r="D65" s="25">
        <f>'Fee Receipt (Class-wise)'!K94</f>
        <v>50</v>
      </c>
      <c r="E65" s="23"/>
      <c r="F65" s="25">
        <v>53</v>
      </c>
      <c r="G65" s="26">
        <f>'Fee Receipt (Class-wise)'!C124</f>
        <v>0</v>
      </c>
      <c r="H65" s="25">
        <f>'Fee Receipt (Class-wise)'!K124</f>
        <v>650</v>
      </c>
      <c r="I65" s="23"/>
    </row>
    <row r="66" spans="1:9" ht="14.45" customHeight="1">
      <c r="A66" s="35"/>
      <c r="B66" s="25">
        <v>24</v>
      </c>
      <c r="C66" s="26" t="str">
        <f>'Fee Receipt (Class-wise)'!C95</f>
        <v>ROBERTSON ROBERT</v>
      </c>
      <c r="D66" s="25">
        <f>'Fee Receipt (Class-wise)'!K95</f>
        <v>650</v>
      </c>
      <c r="E66" s="23"/>
      <c r="F66" s="25">
        <v>54</v>
      </c>
      <c r="G66" s="26">
        <f>'Fee Receipt (Class-wise)'!C125</f>
        <v>0</v>
      </c>
      <c r="H66" s="25">
        <f>'Fee Receipt (Class-wise)'!K125</f>
        <v>650</v>
      </c>
      <c r="I66" s="23"/>
    </row>
    <row r="67" spans="1:9" ht="14.45" customHeight="1">
      <c r="A67" s="35"/>
      <c r="B67" s="25">
        <v>25</v>
      </c>
      <c r="C67" s="26" t="str">
        <f>'Fee Receipt (Class-wise)'!C96</f>
        <v>SEKU JOANA</v>
      </c>
      <c r="D67" s="25">
        <f>'Fee Receipt (Class-wise)'!K96</f>
        <v>350</v>
      </c>
      <c r="E67" s="23"/>
      <c r="F67" s="25">
        <v>55</v>
      </c>
      <c r="G67" s="26">
        <f>'Fee Receipt (Class-wise)'!C126</f>
        <v>0</v>
      </c>
      <c r="H67" s="25">
        <f>'Fee Receipt (Class-wise)'!K126</f>
        <v>650</v>
      </c>
      <c r="I67" s="23"/>
    </row>
    <row r="68" spans="1:9" ht="14.45" customHeight="1">
      <c r="A68" s="35"/>
      <c r="B68" s="25">
        <v>26</v>
      </c>
      <c r="C68" s="26" t="str">
        <f>'Fee Receipt (Class-wise)'!C97</f>
        <v>SEKU JOSEPH</v>
      </c>
      <c r="D68" s="25">
        <f>'Fee Receipt (Class-wise)'!K97</f>
        <v>350</v>
      </c>
      <c r="E68" s="23"/>
      <c r="F68" s="25">
        <v>56</v>
      </c>
      <c r="G68" s="26">
        <f>'Fee Receipt (Class-wise)'!C127</f>
        <v>0</v>
      </c>
      <c r="H68" s="25">
        <f>'Fee Receipt (Class-wise)'!K127</f>
        <v>650</v>
      </c>
      <c r="I68" s="23"/>
    </row>
    <row r="69" spans="1:9" ht="14.45" customHeight="1">
      <c r="A69" s="35"/>
      <c r="B69" s="25">
        <v>27</v>
      </c>
      <c r="C69" s="26" t="str">
        <f>'Fee Receipt (Class-wise)'!C98</f>
        <v>TEYE RADIANT</v>
      </c>
      <c r="D69" s="25">
        <f>'Fee Receipt (Class-wise)'!K98</f>
        <v>650</v>
      </c>
      <c r="E69" s="23"/>
      <c r="F69" s="25">
        <v>57</v>
      </c>
      <c r="G69" s="26">
        <f>'Fee Receipt (Class-wise)'!C128</f>
        <v>0</v>
      </c>
      <c r="H69" s="25">
        <f>'Fee Receipt (Class-wise)'!K128</f>
        <v>650</v>
      </c>
      <c r="I69" s="23"/>
    </row>
    <row r="70" spans="1:9" ht="14.45" customHeight="1">
      <c r="A70" s="35"/>
      <c r="B70" s="25">
        <v>28</v>
      </c>
      <c r="C70" s="26" t="str">
        <f>'Fee Receipt (Class-wise)'!C99</f>
        <v>TSEWU SELIKEM</v>
      </c>
      <c r="D70" s="25">
        <f>'Fee Receipt (Class-wise)'!K99</f>
        <v>0</v>
      </c>
      <c r="E70" s="23"/>
      <c r="F70" s="25">
        <v>58</v>
      </c>
      <c r="G70" s="26">
        <f>'Fee Receipt (Class-wise)'!C129</f>
        <v>0</v>
      </c>
      <c r="H70" s="25">
        <f>'Fee Receipt (Class-wise)'!K129</f>
        <v>650</v>
      </c>
      <c r="I70" s="23"/>
    </row>
    <row r="71" spans="1:9" ht="14.45" customHeight="1">
      <c r="A71" s="35"/>
      <c r="B71" s="25">
        <v>29</v>
      </c>
      <c r="C71" s="26" t="str">
        <f>'Fee Receipt (Class-wise)'!C100</f>
        <v>TSIKATA MAKAFUI JEFFERY</v>
      </c>
      <c r="D71" s="25">
        <f>'Fee Receipt (Class-wise)'!K100</f>
        <v>0</v>
      </c>
      <c r="E71" s="23"/>
      <c r="F71" s="25">
        <v>59</v>
      </c>
      <c r="G71" s="26">
        <f>'Fee Receipt (Class-wise)'!C130</f>
        <v>0</v>
      </c>
      <c r="H71" s="25">
        <f>'Fee Receipt (Class-wise)'!K130</f>
        <v>650</v>
      </c>
      <c r="I71" s="23"/>
    </row>
    <row r="72" spans="1:9" ht="14.45" customHeight="1">
      <c r="A72" s="35"/>
      <c r="B72" s="25">
        <v>30</v>
      </c>
      <c r="C72" s="26" t="str">
        <f>'Fee Receipt (Class-wise)'!C101</f>
        <v>NAZIRU BILIKIES</v>
      </c>
      <c r="D72" s="25">
        <f>'Fee Receipt (Class-wise)'!K101</f>
        <v>650</v>
      </c>
      <c r="E72" s="23"/>
      <c r="F72" s="25">
        <v>60</v>
      </c>
      <c r="G72" s="26">
        <f>'Fee Receipt (Class-wise)'!C131</f>
        <v>0</v>
      </c>
      <c r="H72" s="25">
        <f>'Fee Receipt (Class-wise)'!K131</f>
        <v>650</v>
      </c>
      <c r="I72" s="23"/>
    </row>
    <row r="73" spans="1:9" ht="14.45" customHeight="1">
      <c r="A73" s="35"/>
      <c r="B73" s="25"/>
      <c r="C73" s="23"/>
      <c r="D73" s="23"/>
      <c r="E73" s="23"/>
      <c r="F73" s="33" t="s">
        <v>31</v>
      </c>
      <c r="G73" s="33"/>
      <c r="H73" s="24">
        <f>SUM(D43:D68)</f>
        <v>8950</v>
      </c>
      <c r="I73" s="23"/>
    </row>
    <row r="74" spans="1:9" ht="14.45" customHeight="1">
      <c r="B74" s="23"/>
      <c r="C74" s="23"/>
      <c r="D74" s="23"/>
      <c r="E74" s="23"/>
      <c r="F74" s="23"/>
      <c r="G74" s="23"/>
      <c r="H74" s="23"/>
      <c r="I74" s="23"/>
    </row>
    <row r="75" spans="1:9" ht="14.45" customHeight="1">
      <c r="B75" s="23"/>
      <c r="C75" s="23"/>
      <c r="D75" s="23"/>
      <c r="E75" s="23"/>
      <c r="F75" s="23"/>
      <c r="G75" s="23"/>
      <c r="H75" s="23"/>
      <c r="I75" s="23"/>
    </row>
    <row r="76" spans="1:9" ht="14.45" customHeight="1">
      <c r="A76" s="49">
        <v>3</v>
      </c>
      <c r="B76" s="35" t="s">
        <v>33</v>
      </c>
      <c r="C76" s="35"/>
      <c r="D76" s="35"/>
      <c r="E76" s="35"/>
      <c r="F76" s="35"/>
      <c r="G76" s="35"/>
      <c r="H76" s="24" t="s">
        <v>36</v>
      </c>
      <c r="I76" s="23"/>
    </row>
    <row r="77" spans="1:9" ht="14.45" customHeight="1">
      <c r="A77" s="49"/>
      <c r="B77" s="23" t="s">
        <v>35</v>
      </c>
      <c r="C77" s="50" t="str">
        <f>IF('Fee Receipt (Class-wise)'!C136="", "", 'Fee Receipt (Class-wise)'!C136)</f>
        <v>Nur-2</v>
      </c>
      <c r="D77" s="50"/>
      <c r="E77" s="23"/>
      <c r="F77" s="23"/>
      <c r="G77" s="23"/>
      <c r="H77" s="49">
        <f>IF(C77="", "", H110)</f>
        <v>7710</v>
      </c>
      <c r="I77" s="23"/>
    </row>
    <row r="78" spans="1:9" ht="14.45" customHeight="1">
      <c r="A78" s="49"/>
      <c r="B78" s="23" t="s">
        <v>34</v>
      </c>
      <c r="C78" s="50" t="str">
        <f>IF(C77="", "", 'Fee Receipt (Class-wise)'!$H$2)</f>
        <v>2025-26</v>
      </c>
      <c r="D78" s="50"/>
      <c r="E78" s="23"/>
      <c r="F78" s="23"/>
      <c r="G78" s="23"/>
      <c r="H78" s="49"/>
      <c r="I78" s="23"/>
    </row>
    <row r="79" spans="1:9" ht="14.45" customHeight="1">
      <c r="A79" s="35"/>
      <c r="B79" s="25" t="s">
        <v>1</v>
      </c>
      <c r="C79" s="25" t="s">
        <v>2</v>
      </c>
      <c r="D79" s="25" t="s">
        <v>9</v>
      </c>
      <c r="E79" s="23"/>
      <c r="F79" s="25" t="s">
        <v>1</v>
      </c>
      <c r="G79" s="25" t="s">
        <v>2</v>
      </c>
      <c r="H79" s="25" t="s">
        <v>9</v>
      </c>
      <c r="I79" s="23"/>
    </row>
    <row r="80" spans="1:9" ht="14.45" customHeight="1">
      <c r="A80" s="35"/>
      <c r="B80" s="25">
        <v>1</v>
      </c>
      <c r="C80" s="26" t="str">
        <f>IF('Fee Receipt (Class-wise)'!C139="", "", 'Fee Receipt (Class-wise)'!C139)</f>
        <v>ABDUL RAZAK MUSLIMA</v>
      </c>
      <c r="D80" s="25">
        <f>'Fee Receipt (Class-wise)'!K139</f>
        <v>450</v>
      </c>
      <c r="E80" s="23"/>
      <c r="F80" s="25">
        <v>31</v>
      </c>
      <c r="G80" s="26" t="str">
        <f>IF('Fee Receipt (Class-wise)'!C169="", "", 'Fee Receipt (Class-wise)'!C169)</f>
        <v/>
      </c>
      <c r="H80" s="25">
        <f>'Fee Receipt (Class-wise)'!K169</f>
        <v>650</v>
      </c>
      <c r="I80" s="23"/>
    </row>
    <row r="81" spans="1:9" ht="14.45" customHeight="1">
      <c r="A81" s="35"/>
      <c r="B81" s="25">
        <v>2</v>
      </c>
      <c r="C81" s="26" t="str">
        <f>IF('Fee Receipt (Class-wise)'!C140="", "", 'Fee Receipt (Class-wise)'!C140)</f>
        <v>ABOAGYE RONALD</v>
      </c>
      <c r="D81" s="25">
        <f>'Fee Receipt (Class-wise)'!K140</f>
        <v>650</v>
      </c>
      <c r="E81" s="23"/>
      <c r="F81" s="25">
        <v>32</v>
      </c>
      <c r="G81" s="26" t="str">
        <f>IF('Fee Receipt (Class-wise)'!C170="", "", 'Fee Receipt (Class-wise)'!C170)</f>
        <v/>
      </c>
      <c r="H81" s="25">
        <f>'Fee Receipt (Class-wise)'!K170</f>
        <v>650</v>
      </c>
      <c r="I81" s="23"/>
    </row>
    <row r="82" spans="1:9" ht="14.45" customHeight="1">
      <c r="A82" s="35"/>
      <c r="B82" s="25">
        <v>3</v>
      </c>
      <c r="C82" s="26" t="str">
        <f>IF('Fee Receipt (Class-wise)'!C141="", "", 'Fee Receipt (Class-wise)'!C141)</f>
        <v>ACQUAH REGINALD</v>
      </c>
      <c r="D82" s="25">
        <f>'Fee Receipt (Class-wise)'!K141</f>
        <v>150</v>
      </c>
      <c r="E82" s="23"/>
      <c r="F82" s="25">
        <v>33</v>
      </c>
      <c r="G82" s="26" t="str">
        <f>IF('Fee Receipt (Class-wise)'!C171="", "", 'Fee Receipt (Class-wise)'!C171)</f>
        <v/>
      </c>
      <c r="H82" s="25">
        <f>'Fee Receipt (Class-wise)'!K171</f>
        <v>650</v>
      </c>
      <c r="I82" s="23"/>
    </row>
    <row r="83" spans="1:9" ht="14.45" customHeight="1">
      <c r="A83" s="35"/>
      <c r="B83" s="25">
        <v>4</v>
      </c>
      <c r="C83" s="26" t="str">
        <f>IF('Fee Receipt (Class-wise)'!C142="", "", 'Fee Receipt (Class-wise)'!C142)</f>
        <v>ACQUAH RENIEL</v>
      </c>
      <c r="D83" s="25">
        <f>'Fee Receipt (Class-wise)'!K142</f>
        <v>150</v>
      </c>
      <c r="E83" s="23"/>
      <c r="F83" s="25">
        <v>34</v>
      </c>
      <c r="G83" s="26" t="str">
        <f>IF('Fee Receipt (Class-wise)'!C172="", "", 'Fee Receipt (Class-wise)'!C172)</f>
        <v/>
      </c>
      <c r="H83" s="25">
        <f>'Fee Receipt (Class-wise)'!K172</f>
        <v>650</v>
      </c>
      <c r="I83" s="23"/>
    </row>
    <row r="84" spans="1:9" ht="14.45" customHeight="1">
      <c r="A84" s="35"/>
      <c r="B84" s="25">
        <v>5</v>
      </c>
      <c r="C84" s="26" t="str">
        <f>IF('Fee Receipt (Class-wise)'!C143="", "", 'Fee Receipt (Class-wise)'!C143)</f>
        <v>AFARI MIRACLE</v>
      </c>
      <c r="D84" s="25">
        <f>'Fee Receipt (Class-wise)'!K143</f>
        <v>0</v>
      </c>
      <c r="E84" s="23"/>
      <c r="F84" s="25">
        <v>35</v>
      </c>
      <c r="G84" s="26" t="str">
        <f>IF('Fee Receipt (Class-wise)'!C173="", "", 'Fee Receipt (Class-wise)'!C173)</f>
        <v/>
      </c>
      <c r="H84" s="25">
        <f>'Fee Receipt (Class-wise)'!K173</f>
        <v>650</v>
      </c>
      <c r="I84" s="23"/>
    </row>
    <row r="85" spans="1:9" ht="14.45" customHeight="1">
      <c r="A85" s="35"/>
      <c r="B85" s="25">
        <v>6</v>
      </c>
      <c r="C85" s="26" t="str">
        <f>IF('Fee Receipt (Class-wise)'!C144="", "", 'Fee Receipt (Class-wise)'!C144)</f>
        <v>AMEGADZIE EDEM GERALD</v>
      </c>
      <c r="D85" s="25">
        <f>'Fee Receipt (Class-wise)'!K144</f>
        <v>150</v>
      </c>
      <c r="E85" s="23"/>
      <c r="F85" s="25">
        <v>36</v>
      </c>
      <c r="G85" s="26" t="str">
        <f>IF('Fee Receipt (Class-wise)'!C174="", "", 'Fee Receipt (Class-wise)'!C174)</f>
        <v/>
      </c>
      <c r="H85" s="25">
        <f>'Fee Receipt (Class-wise)'!K174</f>
        <v>650</v>
      </c>
      <c r="I85" s="23"/>
    </row>
    <row r="86" spans="1:9" ht="14.45" customHeight="1">
      <c r="A86" s="35"/>
      <c r="B86" s="25">
        <v>7</v>
      </c>
      <c r="C86" s="26" t="str">
        <f>IF('Fee Receipt (Class-wise)'!C145="", "", 'Fee Receipt (Class-wise)'!C145)</f>
        <v xml:space="preserve">AMENOUHU KLENAM ORIANA </v>
      </c>
      <c r="D86" s="25">
        <f>'Fee Receipt (Class-wise)'!K145</f>
        <v>250</v>
      </c>
      <c r="E86" s="23"/>
      <c r="F86" s="25">
        <v>37</v>
      </c>
      <c r="G86" s="26" t="str">
        <f>IF('Fee Receipt (Class-wise)'!C175="", "", 'Fee Receipt (Class-wise)'!C175)</f>
        <v/>
      </c>
      <c r="H86" s="25">
        <f>'Fee Receipt (Class-wise)'!K175</f>
        <v>650</v>
      </c>
      <c r="I86" s="23"/>
    </row>
    <row r="87" spans="1:9" ht="14.45" customHeight="1">
      <c r="A87" s="35"/>
      <c r="B87" s="25">
        <v>8</v>
      </c>
      <c r="C87" s="26" t="str">
        <f>IF('Fee Receipt (Class-wise)'!C146="", "", 'Fee Receipt (Class-wise)'!C146)</f>
        <v>AMOAH MILENA</v>
      </c>
      <c r="D87" s="25">
        <f>'Fee Receipt (Class-wise)'!K146</f>
        <v>650</v>
      </c>
      <c r="E87" s="23"/>
      <c r="F87" s="25">
        <v>38</v>
      </c>
      <c r="G87" s="26" t="str">
        <f>IF('Fee Receipt (Class-wise)'!C176="", "", 'Fee Receipt (Class-wise)'!C176)</f>
        <v/>
      </c>
      <c r="H87" s="25">
        <f>'Fee Receipt (Class-wise)'!K176</f>
        <v>650</v>
      </c>
      <c r="I87" s="23"/>
    </row>
    <row r="88" spans="1:9" ht="14.45" customHeight="1">
      <c r="A88" s="35"/>
      <c r="B88" s="25">
        <v>9</v>
      </c>
      <c r="C88" s="26" t="str">
        <f>IF('Fee Receipt (Class-wise)'!C147="", "", 'Fee Receipt (Class-wise)'!C147)</f>
        <v>AMPONG BRIANNA</v>
      </c>
      <c r="D88" s="25">
        <f>'Fee Receipt (Class-wise)'!K147</f>
        <v>0</v>
      </c>
      <c r="E88" s="23"/>
      <c r="F88" s="25">
        <v>39</v>
      </c>
      <c r="G88" s="26" t="str">
        <f>IF('Fee Receipt (Class-wise)'!C177="", "", 'Fee Receipt (Class-wise)'!C177)</f>
        <v/>
      </c>
      <c r="H88" s="25">
        <f>'Fee Receipt (Class-wise)'!K177</f>
        <v>650</v>
      </c>
      <c r="I88" s="23"/>
    </row>
    <row r="89" spans="1:9" ht="14.45" customHeight="1">
      <c r="A89" s="35"/>
      <c r="B89" s="25">
        <v>10</v>
      </c>
      <c r="C89" s="26" t="str">
        <f>IF('Fee Receipt (Class-wise)'!C148="", "", 'Fee Receipt (Class-wise)'!C148)</f>
        <v>ANSAH BLESSING</v>
      </c>
      <c r="D89" s="25">
        <f>'Fee Receipt (Class-wise)'!K148</f>
        <v>650</v>
      </c>
      <c r="E89" s="23"/>
      <c r="F89" s="25">
        <v>40</v>
      </c>
      <c r="G89" s="26" t="str">
        <f>IF('Fee Receipt (Class-wise)'!C178="", "", 'Fee Receipt (Class-wise)'!C178)</f>
        <v/>
      </c>
      <c r="H89" s="25">
        <f>'Fee Receipt (Class-wise)'!K178</f>
        <v>650</v>
      </c>
      <c r="I89" s="23"/>
    </row>
    <row r="90" spans="1:9" ht="14.45" customHeight="1">
      <c r="A90" s="35"/>
      <c r="B90" s="25">
        <v>11</v>
      </c>
      <c r="C90" s="26" t="str">
        <f>IF('Fee Receipt (Class-wise)'!C149="", "", 'Fee Receipt (Class-wise)'!C149)</f>
        <v>APPIAGYEI ASANTEWAA</v>
      </c>
      <c r="D90" s="25">
        <f>'Fee Receipt (Class-wise)'!K149</f>
        <v>500</v>
      </c>
      <c r="E90" s="23"/>
      <c r="F90" s="25">
        <v>41</v>
      </c>
      <c r="G90" s="26" t="str">
        <f>IF('Fee Receipt (Class-wise)'!C179="", "", 'Fee Receipt (Class-wise)'!C179)</f>
        <v/>
      </c>
      <c r="H90" s="25">
        <f>'Fee Receipt (Class-wise)'!K179</f>
        <v>650</v>
      </c>
      <c r="I90" s="23"/>
    </row>
    <row r="91" spans="1:9" ht="14.45" customHeight="1">
      <c r="A91" s="35"/>
      <c r="B91" s="25">
        <v>12</v>
      </c>
      <c r="C91" s="26" t="str">
        <f>IF('Fee Receipt (Class-wise)'!C150="", "", 'Fee Receipt (Class-wise)'!C150)</f>
        <v>ASIO TIWA LISA</v>
      </c>
      <c r="D91" s="25">
        <f>'Fee Receipt (Class-wise)'!K150</f>
        <v>0</v>
      </c>
      <c r="E91" s="23"/>
      <c r="F91" s="25">
        <v>42</v>
      </c>
      <c r="G91" s="26" t="str">
        <f>IF('Fee Receipt (Class-wise)'!C180="", "", 'Fee Receipt (Class-wise)'!C180)</f>
        <v/>
      </c>
      <c r="H91" s="25">
        <f>'Fee Receipt (Class-wise)'!K180</f>
        <v>650</v>
      </c>
      <c r="I91" s="23"/>
    </row>
    <row r="92" spans="1:9" ht="14.45" customHeight="1">
      <c r="A92" s="35"/>
      <c r="B92" s="25">
        <v>13</v>
      </c>
      <c r="C92" s="26" t="str">
        <f>IF('Fee Receipt (Class-wise)'!C151="", "", 'Fee Receipt (Class-wise)'!C151)</f>
        <v>AVISON VALIKEM</v>
      </c>
      <c r="D92" s="25">
        <f>'Fee Receipt (Class-wise)'!K151</f>
        <v>0</v>
      </c>
      <c r="E92" s="23"/>
      <c r="F92" s="25">
        <v>43</v>
      </c>
      <c r="G92" s="26" t="str">
        <f>IF('Fee Receipt (Class-wise)'!C181="", "", 'Fee Receipt (Class-wise)'!C181)</f>
        <v/>
      </c>
      <c r="H92" s="25">
        <f>'Fee Receipt (Class-wise)'!K181</f>
        <v>650</v>
      </c>
      <c r="I92" s="23"/>
    </row>
    <row r="93" spans="1:9" ht="14.45" customHeight="1">
      <c r="A93" s="35"/>
      <c r="B93" s="25">
        <v>14</v>
      </c>
      <c r="C93" s="26" t="str">
        <f>IF('Fee Receipt (Class-wise)'!C152="", "", 'Fee Receipt (Class-wise)'!C152)</f>
        <v>BOADI CHRISTABEL</v>
      </c>
      <c r="D93" s="25">
        <f>'Fee Receipt (Class-wise)'!K152</f>
        <v>200</v>
      </c>
      <c r="E93" s="23"/>
      <c r="F93" s="25">
        <v>44</v>
      </c>
      <c r="G93" s="26" t="str">
        <f>IF('Fee Receipt (Class-wise)'!C182="", "", 'Fee Receipt (Class-wise)'!C182)</f>
        <v/>
      </c>
      <c r="H93" s="25">
        <f>'Fee Receipt (Class-wise)'!K182</f>
        <v>650</v>
      </c>
      <c r="I93" s="23"/>
    </row>
    <row r="94" spans="1:9" ht="14.45" customHeight="1">
      <c r="A94" s="35"/>
      <c r="B94" s="25">
        <v>15</v>
      </c>
      <c r="C94" s="26" t="str">
        <f>IF('Fee Receipt (Class-wise)'!C153="", "", 'Fee Receipt (Class-wise)'!C153)</f>
        <v>BOAKYE YIADOM NOBLE</v>
      </c>
      <c r="D94" s="25">
        <f>'Fee Receipt (Class-wise)'!K153</f>
        <v>650</v>
      </c>
      <c r="E94" s="23"/>
      <c r="F94" s="25">
        <v>45</v>
      </c>
      <c r="G94" s="26" t="str">
        <f>IF('Fee Receipt (Class-wise)'!C183="", "", 'Fee Receipt (Class-wise)'!C183)</f>
        <v/>
      </c>
      <c r="H94" s="25">
        <f>'Fee Receipt (Class-wise)'!K183</f>
        <v>650</v>
      </c>
      <c r="I94" s="23"/>
    </row>
    <row r="95" spans="1:9" ht="14.45" customHeight="1">
      <c r="A95" s="35"/>
      <c r="B95" s="25">
        <v>16</v>
      </c>
      <c r="C95" s="26" t="str">
        <f>IF('Fee Receipt (Class-wise)'!C154="", "", 'Fee Receipt (Class-wise)'!C154)</f>
        <v>BROWN MACARENA</v>
      </c>
      <c r="D95" s="25">
        <f>'Fee Receipt (Class-wise)'!K154</f>
        <v>0</v>
      </c>
      <c r="E95" s="23"/>
      <c r="F95" s="25">
        <v>46</v>
      </c>
      <c r="G95" s="26" t="str">
        <f>IF('Fee Receipt (Class-wise)'!C184="", "", 'Fee Receipt (Class-wise)'!C184)</f>
        <v/>
      </c>
      <c r="H95" s="25">
        <f>'Fee Receipt (Class-wise)'!K184</f>
        <v>650</v>
      </c>
      <c r="I95" s="23"/>
    </row>
    <row r="96" spans="1:9" ht="14.45" customHeight="1">
      <c r="A96" s="35"/>
      <c r="B96" s="25">
        <v>17</v>
      </c>
      <c r="C96" s="26" t="str">
        <f>IF('Fee Receipt (Class-wise)'!C155="", "", 'Fee Receipt (Class-wise)'!C155)</f>
        <v>FOSU MARK</v>
      </c>
      <c r="D96" s="25">
        <f>'Fee Receipt (Class-wise)'!K155</f>
        <v>360</v>
      </c>
      <c r="E96" s="23"/>
      <c r="F96" s="25">
        <v>47</v>
      </c>
      <c r="G96" s="26" t="str">
        <f>IF('Fee Receipt (Class-wise)'!C185="", "", 'Fee Receipt (Class-wise)'!C185)</f>
        <v/>
      </c>
      <c r="H96" s="25">
        <f>'Fee Receipt (Class-wise)'!K185</f>
        <v>650</v>
      </c>
      <c r="I96" s="23"/>
    </row>
    <row r="97" spans="1:9" ht="14.45" customHeight="1">
      <c r="A97" s="35"/>
      <c r="B97" s="25">
        <v>18</v>
      </c>
      <c r="C97" s="26" t="str">
        <f>IF('Fee Receipt (Class-wise)'!C156="", "", 'Fee Receipt (Class-wise)'!C156)</f>
        <v>GAISIE BRUCE</v>
      </c>
      <c r="D97" s="25">
        <f>'Fee Receipt (Class-wise)'!K156</f>
        <v>650</v>
      </c>
      <c r="E97" s="23"/>
      <c r="F97" s="25">
        <v>48</v>
      </c>
      <c r="G97" s="26" t="str">
        <f>IF('Fee Receipt (Class-wise)'!C186="", "", 'Fee Receipt (Class-wise)'!C186)</f>
        <v/>
      </c>
      <c r="H97" s="25">
        <f>'Fee Receipt (Class-wise)'!K186</f>
        <v>650</v>
      </c>
      <c r="I97" s="23"/>
    </row>
    <row r="98" spans="1:9" ht="14.45" customHeight="1">
      <c r="A98" s="35"/>
      <c r="B98" s="25">
        <v>19</v>
      </c>
      <c r="C98" s="26" t="str">
        <f>IF('Fee Receipt (Class-wise)'!C157="", "", 'Fee Receipt (Class-wise)'!C157)</f>
        <v>GAIUS MILDRED</v>
      </c>
      <c r="D98" s="25">
        <f>'Fee Receipt (Class-wise)'!K157</f>
        <v>150</v>
      </c>
      <c r="E98" s="23"/>
      <c r="F98" s="25">
        <v>49</v>
      </c>
      <c r="G98" s="26" t="s">
        <v>743</v>
      </c>
      <c r="H98" s="25">
        <f>'Fee Receipt (Class-wise)'!K187</f>
        <v>650</v>
      </c>
      <c r="I98" s="23"/>
    </row>
    <row r="99" spans="1:9" ht="14.45" customHeight="1">
      <c r="A99" s="35"/>
      <c r="B99" s="25">
        <v>20</v>
      </c>
      <c r="C99" s="26" t="str">
        <f>IF('Fee Receipt (Class-wise)'!C158="", "", 'Fee Receipt (Class-wise)'!C158)</f>
        <v>KATTAH KEMUEL AMENUVEVE</v>
      </c>
      <c r="D99" s="25">
        <f>'Fee Receipt (Class-wise)'!K158</f>
        <v>350</v>
      </c>
      <c r="E99" s="23"/>
      <c r="F99" s="25">
        <v>50</v>
      </c>
      <c r="G99" s="26" t="str">
        <f>IF('Fee Receipt (Class-wise)'!C188="", "", 'Fee Receipt (Class-wise)'!C188)</f>
        <v/>
      </c>
      <c r="H99" s="25">
        <f>'Fee Receipt (Class-wise)'!K188</f>
        <v>650</v>
      </c>
      <c r="I99" s="23"/>
    </row>
    <row r="100" spans="1:9" ht="14.45" customHeight="1">
      <c r="A100" s="35"/>
      <c r="B100" s="25">
        <v>21</v>
      </c>
      <c r="C100" s="26" t="str">
        <f>IF('Fee Receipt (Class-wise)'!C159="", "", 'Fee Receipt (Class-wise)'!C159)</f>
        <v>KPELI NATHANIEL</v>
      </c>
      <c r="D100" s="25">
        <f>'Fee Receipt (Class-wise)'!K159</f>
        <v>600</v>
      </c>
      <c r="E100" s="23"/>
      <c r="F100" s="25">
        <v>51</v>
      </c>
      <c r="G100" s="26" t="str">
        <f>IF('Fee Receipt (Class-wise)'!C189="", "", 'Fee Receipt (Class-wise)'!C189)</f>
        <v/>
      </c>
      <c r="H100" s="25">
        <f>'Fee Receipt (Class-wise)'!K189</f>
        <v>650</v>
      </c>
      <c r="I100" s="23"/>
    </row>
    <row r="101" spans="1:9" ht="14.45" customHeight="1">
      <c r="A101" s="35"/>
      <c r="B101" s="25">
        <v>22</v>
      </c>
      <c r="C101" s="26" t="str">
        <f>IF('Fee Receipt (Class-wise)'!C160="", "", 'Fee Receipt (Class-wise)'!C160)</f>
        <v>KWAMIN JULIUS</v>
      </c>
      <c r="D101" s="25">
        <f>'Fee Receipt (Class-wise)'!K160</f>
        <v>0</v>
      </c>
      <c r="E101" s="23"/>
      <c r="F101" s="25">
        <v>52</v>
      </c>
      <c r="G101" s="26" t="str">
        <f>IF('Fee Receipt (Class-wise)'!C190="", "", 'Fee Receipt (Class-wise)'!C190)</f>
        <v/>
      </c>
      <c r="H101" s="25">
        <f>'Fee Receipt (Class-wise)'!K190</f>
        <v>650</v>
      </c>
      <c r="I101" s="23"/>
    </row>
    <row r="102" spans="1:9" ht="14.45" customHeight="1">
      <c r="A102" s="35"/>
      <c r="B102" s="25">
        <v>23</v>
      </c>
      <c r="C102" s="26" t="str">
        <f>IF('Fee Receipt (Class-wise)'!C161="", "", 'Fee Receipt (Class-wise)'!C161)</f>
        <v>LAWEH ISAAC</v>
      </c>
      <c r="D102" s="25">
        <f>'Fee Receipt (Class-wise)'!K161</f>
        <v>0</v>
      </c>
      <c r="E102" s="23"/>
      <c r="F102" s="25">
        <v>53</v>
      </c>
      <c r="G102" s="26" t="str">
        <f>IF('Fee Receipt (Class-wise)'!C191="", "", 'Fee Receipt (Class-wise)'!C191)</f>
        <v/>
      </c>
      <c r="H102" s="25">
        <f>'Fee Receipt (Class-wise)'!K191</f>
        <v>650</v>
      </c>
      <c r="I102" s="23"/>
    </row>
    <row r="103" spans="1:9" ht="14.45" customHeight="1">
      <c r="A103" s="35"/>
      <c r="B103" s="25">
        <v>24</v>
      </c>
      <c r="C103" s="26" t="str">
        <f>IF('Fee Receipt (Class-wise)'!C162="", "", 'Fee Receipt (Class-wise)'!C162)</f>
        <v>MONYEKOR EDEM CLEMENT</v>
      </c>
      <c r="D103" s="25">
        <f>'Fee Receipt (Class-wise)'!K162</f>
        <v>0</v>
      </c>
      <c r="E103" s="23"/>
      <c r="F103" s="25">
        <v>54</v>
      </c>
      <c r="G103" s="26" t="str">
        <f>IF('Fee Receipt (Class-wise)'!C192="", "", 'Fee Receipt (Class-wise)'!C192)</f>
        <v/>
      </c>
      <c r="H103" s="25">
        <f>'Fee Receipt (Class-wise)'!K192</f>
        <v>650</v>
      </c>
      <c r="I103" s="23"/>
    </row>
    <row r="104" spans="1:9" ht="14.45" customHeight="1">
      <c r="A104" s="35"/>
      <c r="B104" s="25">
        <v>25</v>
      </c>
      <c r="C104" s="26" t="str">
        <f>IF('Fee Receipt (Class-wise)'!C163="", "", 'Fee Receipt (Class-wise)'!C163)</f>
        <v>NEWMAN OHENE</v>
      </c>
      <c r="D104" s="25">
        <f>'Fee Receipt (Class-wise)'!K163</f>
        <v>0</v>
      </c>
      <c r="E104" s="23"/>
      <c r="F104" s="25">
        <v>55</v>
      </c>
      <c r="G104" s="26" t="str">
        <f>IF('Fee Receipt (Class-wise)'!C193="", "", 'Fee Receipt (Class-wise)'!C193)</f>
        <v/>
      </c>
      <c r="H104" s="25">
        <f>'Fee Receipt (Class-wise)'!K193</f>
        <v>650</v>
      </c>
      <c r="I104" s="23"/>
    </row>
    <row r="105" spans="1:9" ht="14.45" customHeight="1">
      <c r="A105" s="35"/>
      <c r="B105" s="25">
        <v>26</v>
      </c>
      <c r="C105" s="26" t="str">
        <f>IF('Fee Receipt (Class-wise)'!C164="", "", 'Fee Receipt (Class-wise)'!C164)</f>
        <v>OPOKU NANA TREASURE</v>
      </c>
      <c r="D105" s="25">
        <f>'Fee Receipt (Class-wise)'!K164</f>
        <v>650</v>
      </c>
      <c r="E105" s="23"/>
      <c r="F105" s="25">
        <v>56</v>
      </c>
      <c r="G105" s="26" t="str">
        <f>IF('Fee Receipt (Class-wise)'!C194="", "", 'Fee Receipt (Class-wise)'!C194)</f>
        <v/>
      </c>
      <c r="H105" s="25">
        <f>'Fee Receipt (Class-wise)'!K194</f>
        <v>650</v>
      </c>
      <c r="I105" s="23"/>
    </row>
    <row r="106" spans="1:9" ht="14.45" customHeight="1">
      <c r="A106" s="35"/>
      <c r="B106" s="25">
        <v>27</v>
      </c>
      <c r="C106" s="26" t="e">
        <f>IF('Fee Receipt (Class-wise)'!#REF!="", "", 'Fee Receipt (Class-wise)'!#REF!)</f>
        <v>#REF!</v>
      </c>
      <c r="D106" s="25">
        <f>'Fee Receipt (Class-wise)'!K165</f>
        <v>0</v>
      </c>
      <c r="E106" s="23"/>
      <c r="F106" s="25">
        <v>57</v>
      </c>
      <c r="G106" s="26" t="str">
        <f>IF('Fee Receipt (Class-wise)'!C195="", "", 'Fee Receipt (Class-wise)'!C195)</f>
        <v/>
      </c>
      <c r="H106" s="25">
        <f>'Fee Receipt (Class-wise)'!K195</f>
        <v>650</v>
      </c>
      <c r="I106" s="23"/>
    </row>
    <row r="107" spans="1:9" ht="14.45" customHeight="1">
      <c r="A107" s="35"/>
      <c r="B107" s="25">
        <v>28</v>
      </c>
      <c r="C107" s="26" t="str">
        <f>IF('Fee Receipt (Class-wise)'!C166="", "", 'Fee Receipt (Class-wise)'!C166)</f>
        <v>TIJANI TIPAYA</v>
      </c>
      <c r="D107" s="25">
        <f>'Fee Receipt (Class-wise)'!K166</f>
        <v>500</v>
      </c>
      <c r="E107" s="23"/>
      <c r="F107" s="25">
        <v>58</v>
      </c>
      <c r="G107" s="26" t="str">
        <f>IF('Fee Receipt (Class-wise)'!C196="", "", 'Fee Receipt (Class-wise)'!C196)</f>
        <v/>
      </c>
      <c r="H107" s="25">
        <f>'Fee Receipt (Class-wise)'!K196</f>
        <v>650</v>
      </c>
      <c r="I107" s="23"/>
    </row>
    <row r="108" spans="1:9" ht="14.45" customHeight="1">
      <c r="A108" s="35"/>
      <c r="B108" s="25">
        <v>29</v>
      </c>
      <c r="C108" s="26" t="str">
        <f>IF('Fee Receipt (Class-wise)'!C167="", "", 'Fee Receipt (Class-wise)'!C167)</f>
        <v>WIREKO A.ELLIOT</v>
      </c>
      <c r="D108" s="25">
        <f>'Fee Receipt (Class-wise)'!K167</f>
        <v>0</v>
      </c>
      <c r="E108" s="23"/>
      <c r="F108" s="25">
        <v>59</v>
      </c>
      <c r="G108" s="26" t="str">
        <f>IF('Fee Receipt (Class-wise)'!C197="", "", 'Fee Receipt (Class-wise)'!C197)</f>
        <v/>
      </c>
      <c r="H108" s="25">
        <f>'Fee Receipt (Class-wise)'!K197</f>
        <v>650</v>
      </c>
      <c r="I108" s="23"/>
    </row>
    <row r="109" spans="1:9" ht="14.45" customHeight="1">
      <c r="A109" s="35"/>
      <c r="B109" s="25">
        <v>30</v>
      </c>
      <c r="C109" s="26" t="str">
        <f>IF('Fee Receipt (Class-wise)'!C168="", "", 'Fee Receipt (Class-wise)'!C168)</f>
        <v>ADJEI OFORI CLEVESTER</v>
      </c>
      <c r="D109" s="25">
        <f>'Fee Receipt (Class-wise)'!K168</f>
        <v>0</v>
      </c>
      <c r="E109" s="23"/>
      <c r="F109" s="25">
        <v>60</v>
      </c>
      <c r="G109" s="26" t="str">
        <f>IF('Fee Receipt (Class-wise)'!C198="", "", 'Fee Receipt (Class-wise)'!C198)</f>
        <v/>
      </c>
      <c r="H109" s="25">
        <f>'Fee Receipt (Class-wise)'!K198</f>
        <v>650</v>
      </c>
      <c r="I109" s="23"/>
    </row>
    <row r="110" spans="1:9" ht="14.45" customHeight="1">
      <c r="A110" s="35"/>
      <c r="B110" s="25"/>
      <c r="C110" s="23"/>
      <c r="D110" s="23"/>
      <c r="E110" s="23"/>
      <c r="F110" s="33" t="s">
        <v>31</v>
      </c>
      <c r="G110" s="33"/>
      <c r="H110" s="24">
        <f>SUM(D80:D108)</f>
        <v>7710</v>
      </c>
      <c r="I110" s="23"/>
    </row>
    <row r="111" spans="1:9" ht="14.45" customHeight="1">
      <c r="B111" s="23"/>
      <c r="C111" s="23"/>
      <c r="D111" s="23"/>
      <c r="E111" s="23"/>
      <c r="F111" s="23"/>
      <c r="G111" s="23"/>
      <c r="H111" s="23"/>
      <c r="I111" s="23"/>
    </row>
    <row r="112" spans="1:9" ht="14.45" customHeight="1">
      <c r="B112" s="23"/>
      <c r="C112" s="23"/>
      <c r="D112" s="23"/>
      <c r="E112" s="23"/>
      <c r="F112" s="23"/>
      <c r="G112" s="23"/>
      <c r="H112" s="23"/>
      <c r="I112" s="23"/>
    </row>
    <row r="113" spans="1:9" ht="14.45" customHeight="1">
      <c r="A113" s="49">
        <v>4</v>
      </c>
      <c r="B113" s="35" t="s">
        <v>33</v>
      </c>
      <c r="C113" s="35"/>
      <c r="D113" s="35"/>
      <c r="E113" s="35"/>
      <c r="F113" s="35"/>
      <c r="G113" s="35"/>
      <c r="H113" s="24" t="s">
        <v>36</v>
      </c>
      <c r="I113" s="23"/>
    </row>
    <row r="114" spans="1:9" ht="14.45" customHeight="1">
      <c r="A114" s="49"/>
      <c r="B114" s="23" t="s">
        <v>35</v>
      </c>
      <c r="C114" s="50" t="str">
        <f>IF('Fee Receipt (Class-wise)'!C203="", "", 'Fee Receipt (Class-wise)'!C203)</f>
        <v>KG-1</v>
      </c>
      <c r="D114" s="50"/>
      <c r="E114" s="23"/>
      <c r="F114" s="23"/>
      <c r="G114" s="23"/>
      <c r="H114" s="49">
        <f>IF(C114="", "", H147)</f>
        <v>25100</v>
      </c>
      <c r="I114" s="23"/>
    </row>
    <row r="115" spans="1:9" ht="14.45" customHeight="1">
      <c r="A115" s="49"/>
      <c r="B115" s="23" t="s">
        <v>34</v>
      </c>
      <c r="C115" s="50" t="str">
        <f>IF(C114="", "", 'Fee Receipt (Class-wise)'!$H$2)</f>
        <v>2025-26</v>
      </c>
      <c r="D115" s="50"/>
      <c r="E115" s="23"/>
      <c r="F115" s="23"/>
      <c r="G115" s="23"/>
      <c r="H115" s="49"/>
      <c r="I115" s="23"/>
    </row>
    <row r="116" spans="1:9" ht="14.45" customHeight="1">
      <c r="A116" s="35"/>
      <c r="B116" s="25" t="s">
        <v>1</v>
      </c>
      <c r="C116" s="25" t="s">
        <v>2</v>
      </c>
      <c r="D116" s="25" t="s">
        <v>9</v>
      </c>
      <c r="E116" s="23"/>
      <c r="F116" s="25" t="s">
        <v>1</v>
      </c>
      <c r="G116" s="25" t="s">
        <v>2</v>
      </c>
      <c r="H116" s="25" t="s">
        <v>9</v>
      </c>
      <c r="I116" s="23"/>
    </row>
    <row r="117" spans="1:9" ht="14.45" customHeight="1">
      <c r="A117" s="35"/>
      <c r="B117" s="25">
        <v>1</v>
      </c>
      <c r="C117" s="26" t="str">
        <f>IF('Fee Receipt (Class-wise)'!C206="", "", 'Fee Receipt (Class-wise)'!C206)</f>
        <v>ABDUL RAKIB MAJID</v>
      </c>
      <c r="D117" s="25">
        <f>'Fee Receipt (Class-wise)'!K206</f>
        <v>650</v>
      </c>
      <c r="E117" s="23"/>
      <c r="F117" s="25">
        <v>31</v>
      </c>
      <c r="G117" s="26" t="str">
        <f>IF('Fee Receipt (Class-wise)'!C236="", "", 'Fee Receipt (Class-wise)'!C236)</f>
        <v>LUKMAN MOHAMMED</v>
      </c>
      <c r="H117" s="25">
        <f>'Fee Receipt (Class-wise)'!K236</f>
        <v>400</v>
      </c>
      <c r="I117" s="23"/>
    </row>
    <row r="118" spans="1:9" ht="14.45" customHeight="1">
      <c r="A118" s="35"/>
      <c r="B118" s="25">
        <v>2</v>
      </c>
      <c r="C118" s="26" t="str">
        <f>IF('Fee Receipt (Class-wise)'!C207="", "", 'Fee Receipt (Class-wise)'!C207)</f>
        <v>ACHINI OTOO MOSES</v>
      </c>
      <c r="D118" s="25">
        <f>'Fee Receipt (Class-wise)'!K207</f>
        <v>450</v>
      </c>
      <c r="E118" s="23"/>
      <c r="F118" s="25">
        <v>32</v>
      </c>
      <c r="G118" s="26" t="str">
        <f>IF('Fee Receipt (Class-wise)'!C237="", "", 'Fee Receipt (Class-wise)'!C237)</f>
        <v>MAHAMUD SUDIAS</v>
      </c>
      <c r="H118" s="25">
        <f>'Fee Receipt (Class-wise)'!K237</f>
        <v>0</v>
      </c>
      <c r="I118" s="23"/>
    </row>
    <row r="119" spans="1:9" ht="14.45" customHeight="1">
      <c r="A119" s="35"/>
      <c r="B119" s="25">
        <v>3</v>
      </c>
      <c r="C119" s="26" t="str">
        <f>IF('Fee Receipt (Class-wise)'!C208="", "", 'Fee Receipt (Class-wise)'!C208)</f>
        <v>ADONU MAKAFUI</v>
      </c>
      <c r="D119" s="25">
        <f>'Fee Receipt (Class-wise)'!K208</f>
        <v>250</v>
      </c>
      <c r="E119" s="23"/>
      <c r="F119" s="25">
        <v>33</v>
      </c>
      <c r="G119" s="26" t="str">
        <f>IF('Fee Receipt (Class-wise)'!C238="", "", 'Fee Receipt (Class-wise)'!C238)</f>
        <v>MOHAMMED ISMAIL FAIZ</v>
      </c>
      <c r="H119" s="25">
        <f>'Fee Receipt (Class-wise)'!K238</f>
        <v>0</v>
      </c>
      <c r="I119" s="23"/>
    </row>
    <row r="120" spans="1:9" ht="14.45" customHeight="1">
      <c r="A120" s="35"/>
      <c r="B120" s="25">
        <v>4</v>
      </c>
      <c r="C120" s="26" t="str">
        <f>IF('Fee Receipt (Class-wise)'!C209="", "", 'Fee Receipt (Class-wise)'!C209)</f>
        <v>AFRAM MARGARET</v>
      </c>
      <c r="D120" s="25">
        <f>'Fee Receipt (Class-wise)'!K209</f>
        <v>150</v>
      </c>
      <c r="E120" s="23"/>
      <c r="F120" s="25">
        <v>34</v>
      </c>
      <c r="G120" s="26" t="str">
        <f>IF('Fee Receipt (Class-wise)'!C239="", "", 'Fee Receipt (Class-wise)'!C239)</f>
        <v>NARTEY JEPHTER</v>
      </c>
      <c r="H120" s="25">
        <f>'Fee Receipt (Class-wise)'!K239</f>
        <v>450</v>
      </c>
      <c r="I120" s="23"/>
    </row>
    <row r="121" spans="1:9" ht="14.45" customHeight="1">
      <c r="A121" s="35"/>
      <c r="B121" s="25">
        <v>5</v>
      </c>
      <c r="C121" s="26" t="str">
        <f>IF('Fee Receipt (Class-wise)'!C210="", "", 'Fee Receipt (Class-wise)'!C210)</f>
        <v>AMETORGO GODFRED SETOR</v>
      </c>
      <c r="D121" s="25">
        <f>'Fee Receipt (Class-wise)'!K210</f>
        <v>250</v>
      </c>
      <c r="E121" s="23"/>
      <c r="F121" s="25">
        <v>35</v>
      </c>
      <c r="G121" s="26" t="str">
        <f>IF('Fee Receipt (Class-wise)'!C240="", "", 'Fee Receipt (Class-wise)'!C240)</f>
        <v>NYARKO ANTWIWAA ADOM</v>
      </c>
      <c r="H121" s="25">
        <f>'Fee Receipt (Class-wise)'!K240</f>
        <v>150</v>
      </c>
      <c r="I121" s="23"/>
    </row>
    <row r="122" spans="1:9" ht="14.45" customHeight="1">
      <c r="A122" s="35"/>
      <c r="B122" s="25">
        <v>6</v>
      </c>
      <c r="C122" s="26" t="str">
        <f>IF('Fee Receipt (Class-wise)'!C211="", "", 'Fee Receipt (Class-wise)'!C211)</f>
        <v>AMOAH ABRAHAM</v>
      </c>
      <c r="D122" s="25">
        <f>'Fee Receipt (Class-wise)'!K211</f>
        <v>0</v>
      </c>
      <c r="E122" s="23"/>
      <c r="F122" s="25">
        <v>36</v>
      </c>
      <c r="G122" s="26" t="str">
        <f>IF('Fee Receipt (Class-wise)'!C241="", "", 'Fee Receipt (Class-wise)'!C241)</f>
        <v>ODEMEY ANUONYAM</v>
      </c>
      <c r="H122" s="25">
        <f>'Fee Receipt (Class-wise)'!K241</f>
        <v>500</v>
      </c>
      <c r="I122" s="23"/>
    </row>
    <row r="123" spans="1:9" ht="14.45" customHeight="1">
      <c r="A123" s="35"/>
      <c r="B123" s="25">
        <v>7</v>
      </c>
      <c r="C123" s="26" t="str">
        <f>IF('Fee Receipt (Class-wise)'!C212="", "", 'Fee Receipt (Class-wise)'!C212)</f>
        <v>AMOAH BRYAN</v>
      </c>
      <c r="D123" s="25">
        <f>'Fee Receipt (Class-wise)'!K212</f>
        <v>650</v>
      </c>
      <c r="E123" s="23"/>
      <c r="F123" s="25">
        <v>37</v>
      </c>
      <c r="G123" s="26" t="str">
        <f>IF('Fee Receipt (Class-wise)'!C242="", "", 'Fee Receipt (Class-wise)'!C242)</f>
        <v>ODOOM BLESSING</v>
      </c>
      <c r="H123" s="25">
        <f>'Fee Receipt (Class-wise)'!K242</f>
        <v>200</v>
      </c>
      <c r="I123" s="23"/>
    </row>
    <row r="124" spans="1:9" ht="14.45" customHeight="1">
      <c r="A124" s="35"/>
      <c r="B124" s="25">
        <v>8</v>
      </c>
      <c r="C124" s="26" t="str">
        <f>IF('Fee Receipt (Class-wise)'!C213="", "", 'Fee Receipt (Class-wise)'!C213)</f>
        <v>ASARE NYAMEKYE</v>
      </c>
      <c r="D124" s="25">
        <f>'Fee Receipt (Class-wise)'!K213</f>
        <v>250</v>
      </c>
      <c r="E124" s="23"/>
      <c r="F124" s="25">
        <v>38</v>
      </c>
      <c r="G124" s="26" t="str">
        <f>IF('Fee Receipt (Class-wise)'!C243="", "", 'Fee Receipt (Class-wise)'!C243)</f>
        <v>OSMAN MUTASRI</v>
      </c>
      <c r="H124" s="25">
        <f>'Fee Receipt (Class-wise)'!K243</f>
        <v>350</v>
      </c>
      <c r="I124" s="23"/>
    </row>
    <row r="125" spans="1:9" ht="14.45" customHeight="1">
      <c r="A125" s="35"/>
      <c r="B125" s="25">
        <v>9</v>
      </c>
      <c r="C125" s="26" t="str">
        <f>IF('Fee Receipt (Class-wise)'!C214="", "", 'Fee Receipt (Class-wise)'!C214)</f>
        <v>AMOAKO SHERIFA</v>
      </c>
      <c r="D125" s="25">
        <f>'Fee Receipt (Class-wise)'!K214</f>
        <v>0</v>
      </c>
      <c r="E125" s="23"/>
      <c r="F125" s="25">
        <v>39</v>
      </c>
      <c r="G125" s="26" t="str">
        <f>IF('Fee Receipt (Class-wise)'!C244="", "", 'Fee Receipt (Class-wise)'!C244)</f>
        <v>QUAQUE TED</v>
      </c>
      <c r="H125" s="25">
        <f>'Fee Receipt (Class-wise)'!K244</f>
        <v>0</v>
      </c>
      <c r="I125" s="23"/>
    </row>
    <row r="126" spans="1:9" ht="14.45" customHeight="1">
      <c r="A126" s="35"/>
      <c r="B126" s="25">
        <v>10</v>
      </c>
      <c r="C126" s="26" t="str">
        <f>IF('Fee Receipt (Class-wise)'!C215="", "", 'Fee Receipt (Class-wise)'!C215)</f>
        <v>ANNOR ANNABEL</v>
      </c>
      <c r="D126" s="25">
        <f>'Fee Receipt (Class-wise)'!K215</f>
        <v>650</v>
      </c>
      <c r="E126" s="23"/>
      <c r="F126" s="25">
        <v>40</v>
      </c>
      <c r="G126" s="26" t="str">
        <f>IF('Fee Receipt (Class-wise)'!C245="", "", 'Fee Receipt (Class-wise)'!C245)</f>
        <v>ROBERTSON GIANNA</v>
      </c>
      <c r="H126" s="25">
        <f>'Fee Receipt (Class-wise)'!K245</f>
        <v>350</v>
      </c>
      <c r="I126" s="23"/>
    </row>
    <row r="127" spans="1:9" ht="14.45" customHeight="1">
      <c r="A127" s="35"/>
      <c r="B127" s="25">
        <v>11</v>
      </c>
      <c r="C127" s="26" t="str">
        <f>IF('Fee Receipt (Class-wise)'!C216="", "", 'Fee Receipt (Class-wise)'!C216)</f>
        <v>ARHINFUL NANA KOJO AKYAMFO</v>
      </c>
      <c r="D127" s="25">
        <f>'Fee Receipt (Class-wise)'!K216</f>
        <v>650</v>
      </c>
      <c r="E127" s="23"/>
      <c r="F127" s="25">
        <v>41</v>
      </c>
      <c r="G127" s="26" t="str">
        <f>IF('Fee Receipt (Class-wise)'!C246="", "", 'Fee Receipt (Class-wise)'!C246)</f>
        <v>SARFO OSEI NYAMENAYE</v>
      </c>
      <c r="H127" s="25">
        <f>'Fee Receipt (Class-wise)'!K246</f>
        <v>650</v>
      </c>
      <c r="I127" s="23"/>
    </row>
    <row r="128" spans="1:9" ht="14.45" customHeight="1">
      <c r="A128" s="35"/>
      <c r="B128" s="25">
        <v>12</v>
      </c>
      <c r="C128" s="26" t="str">
        <f>IF('Fee Receipt (Class-wise)'!C217="", "", 'Fee Receipt (Class-wise)'!C217)</f>
        <v>ATAMBIRE VIDA</v>
      </c>
      <c r="D128" s="25">
        <f>'Fee Receipt (Class-wise)'!K217</f>
        <v>200</v>
      </c>
      <c r="E128" s="23"/>
      <c r="F128" s="25">
        <v>42</v>
      </c>
      <c r="G128" s="26" t="str">
        <f>IF('Fee Receipt (Class-wise)'!C247="", "", 'Fee Receipt (Class-wise)'!C247)</f>
        <v>TAYLOR ELEANOR ELIKEM</v>
      </c>
      <c r="H128" s="25">
        <f>'Fee Receipt (Class-wise)'!K247</f>
        <v>150</v>
      </c>
      <c r="I128" s="23"/>
    </row>
    <row r="129" spans="1:9" ht="14.45" customHeight="1">
      <c r="A129" s="35"/>
      <c r="B129" s="25">
        <v>13</v>
      </c>
      <c r="C129" s="26" t="str">
        <f>IF('Fee Receipt (Class-wise)'!C218="", "", 'Fee Receipt (Class-wise)'!C218)</f>
        <v>ADJEI OFORI ELIYSHEVA</v>
      </c>
      <c r="D129" s="25">
        <f>'Fee Receipt (Class-wise)'!K218</f>
        <v>0</v>
      </c>
      <c r="E129" s="23"/>
      <c r="F129" s="25">
        <v>43</v>
      </c>
      <c r="G129" s="26" t="str">
        <f>IF('Fee Receipt (Class-wise)'!C248="", "", 'Fee Receipt (Class-wise)'!C248)</f>
        <v>TETTEH SAMUEL</v>
      </c>
      <c r="H129" s="25">
        <f>'Fee Receipt (Class-wise)'!K248</f>
        <v>200</v>
      </c>
      <c r="I129" s="23"/>
    </row>
    <row r="130" spans="1:9" ht="14.45" customHeight="1">
      <c r="A130" s="35"/>
      <c r="B130" s="25">
        <v>14</v>
      </c>
      <c r="C130" s="26" t="str">
        <f>IF('Fee Receipt (Class-wise)'!C219="", "", 'Fee Receipt (Class-wise)'!C219)</f>
        <v>AYIN RANSFORD</v>
      </c>
      <c r="D130" s="25">
        <f>'Fee Receipt (Class-wise)'!K219</f>
        <v>650</v>
      </c>
      <c r="E130" s="23"/>
      <c r="F130" s="25">
        <v>44</v>
      </c>
      <c r="G130" s="26" t="str">
        <f>IF('Fee Receipt (Class-wise)'!C249="", "", 'Fee Receipt (Class-wise)'!C249)</f>
        <v>TIJANI ABDUL WAHAB</v>
      </c>
      <c r="H130" s="25">
        <f>'Fee Receipt (Class-wise)'!K249</f>
        <v>250</v>
      </c>
      <c r="I130" s="23"/>
    </row>
    <row r="131" spans="1:9" ht="14.45" customHeight="1">
      <c r="A131" s="35"/>
      <c r="B131" s="25">
        <v>15</v>
      </c>
      <c r="C131" s="26" t="str">
        <f>IF('Fee Receipt (Class-wise)'!C220="", "", 'Fee Receipt (Class-wise)'!C220)</f>
        <v>CUDJOE HARRISON</v>
      </c>
      <c r="D131" s="25">
        <f>'Fee Receipt (Class-wise)'!K220</f>
        <v>650</v>
      </c>
      <c r="E131" s="23"/>
      <c r="F131" s="25">
        <v>45</v>
      </c>
      <c r="G131" s="26" t="str">
        <f>IF('Fee Receipt (Class-wise)'!C250="", "", 'Fee Receipt (Class-wise)'!C250)</f>
        <v/>
      </c>
      <c r="H131" s="25">
        <f>'Fee Receipt (Class-wise)'!K250</f>
        <v>650</v>
      </c>
      <c r="I131" s="23"/>
    </row>
    <row r="132" spans="1:9" ht="14.45" customHeight="1">
      <c r="A132" s="35"/>
      <c r="B132" s="25">
        <v>16</v>
      </c>
      <c r="C132" s="26" t="str">
        <f>IF('Fee Receipt (Class-wise)'!C221="", "", 'Fee Receipt (Class-wise)'!C221)</f>
        <v>DANQUAH PETRA</v>
      </c>
      <c r="D132" s="25">
        <f>'Fee Receipt (Class-wise)'!K221</f>
        <v>650</v>
      </c>
      <c r="E132" s="23"/>
      <c r="F132" s="25">
        <v>46</v>
      </c>
      <c r="G132" s="26" t="str">
        <f>IF('Fee Receipt (Class-wise)'!C251="", "", 'Fee Receipt (Class-wise)'!C251)</f>
        <v/>
      </c>
      <c r="H132" s="25">
        <f>'Fee Receipt (Class-wise)'!K251</f>
        <v>650</v>
      </c>
      <c r="I132" s="23"/>
    </row>
    <row r="133" spans="1:9" ht="14.45" customHeight="1">
      <c r="A133" s="35"/>
      <c r="B133" s="25">
        <v>17</v>
      </c>
      <c r="C133" s="26" t="str">
        <f>IF('Fee Receipt (Class-wise)'!C222="", "", 'Fee Receipt (Class-wise)'!C222)</f>
        <v>DAUDA JAFFAR</v>
      </c>
      <c r="D133" s="25">
        <f>'Fee Receipt (Class-wise)'!K222</f>
        <v>350</v>
      </c>
      <c r="E133" s="23"/>
      <c r="F133" s="25">
        <v>47</v>
      </c>
      <c r="G133" s="26" t="str">
        <f>IF('Fee Receipt (Class-wise)'!C252="", "", 'Fee Receipt (Class-wise)'!C252)</f>
        <v/>
      </c>
      <c r="H133" s="25">
        <f>'Fee Receipt (Class-wise)'!K252</f>
        <v>650</v>
      </c>
      <c r="I133" s="23"/>
    </row>
    <row r="134" spans="1:9" ht="14.45" customHeight="1">
      <c r="A134" s="35"/>
      <c r="B134" s="25">
        <v>18</v>
      </c>
      <c r="C134" s="26" t="str">
        <f>IF('Fee Receipt (Class-wise)'!C223="", "", 'Fee Receipt (Class-wise)'!C223)</f>
        <v>DJAGBATEY MICKEL</v>
      </c>
      <c r="D134" s="25">
        <f>'Fee Receipt (Class-wise)'!K223</f>
        <v>450</v>
      </c>
      <c r="E134" s="23"/>
      <c r="F134" s="25">
        <v>48</v>
      </c>
      <c r="G134" s="26" t="str">
        <f>IF('Fee Receipt (Class-wise)'!C253="", "", 'Fee Receipt (Class-wise)'!C253)</f>
        <v/>
      </c>
      <c r="H134" s="25">
        <f>'Fee Receipt (Class-wise)'!K253</f>
        <v>650</v>
      </c>
      <c r="I134" s="23"/>
    </row>
    <row r="135" spans="1:9" ht="14.45" customHeight="1">
      <c r="A135" s="35"/>
      <c r="B135" s="25">
        <v>19</v>
      </c>
      <c r="C135" s="26" t="str">
        <f>IF('Fee Receipt (Class-wise)'!C224="", "", 'Fee Receipt (Class-wise)'!C224)</f>
        <v>DONKOH CLARA</v>
      </c>
      <c r="D135" s="25">
        <f>'Fee Receipt (Class-wise)'!K224</f>
        <v>250</v>
      </c>
      <c r="E135" s="23"/>
      <c r="F135" s="25">
        <v>49</v>
      </c>
      <c r="G135" s="26" t="str">
        <f>IF('Fee Receipt (Class-wise)'!C254="", "", 'Fee Receipt (Class-wise)'!C254)</f>
        <v/>
      </c>
      <c r="H135" s="25">
        <f>'Fee Receipt (Class-wise)'!K254</f>
        <v>650</v>
      </c>
      <c r="I135" s="23"/>
    </row>
    <row r="136" spans="1:9" ht="14.45" customHeight="1">
      <c r="A136" s="35"/>
      <c r="B136" s="25">
        <v>20</v>
      </c>
      <c r="C136" s="26" t="str">
        <f>IF('Fee Receipt (Class-wise)'!C225="", "", 'Fee Receipt (Class-wise)'!C225)</f>
        <v>DZOKOTO PATRICIA</v>
      </c>
      <c r="D136" s="25">
        <f>'Fee Receipt (Class-wise)'!K225</f>
        <v>0</v>
      </c>
      <c r="E136" s="23"/>
      <c r="F136" s="25">
        <v>50</v>
      </c>
      <c r="G136" s="26" t="str">
        <f>IF('Fee Receipt (Class-wise)'!C255="", "", 'Fee Receipt (Class-wise)'!C255)</f>
        <v/>
      </c>
      <c r="H136" s="25">
        <f>'Fee Receipt (Class-wise)'!K255</f>
        <v>650</v>
      </c>
      <c r="I136" s="23"/>
    </row>
    <row r="137" spans="1:9" ht="14.45" customHeight="1">
      <c r="A137" s="35"/>
      <c r="B137" s="25">
        <v>21</v>
      </c>
      <c r="C137" s="26" t="str">
        <f>IF('Fee Receipt (Class-wise)'!C226="", "", 'Fee Receipt (Class-wise)'!C226)</f>
        <v>EDUAH LORDINA</v>
      </c>
      <c r="D137" s="25">
        <f>'Fee Receipt (Class-wise)'!K226</f>
        <v>320</v>
      </c>
      <c r="E137" s="23"/>
      <c r="F137" s="25">
        <v>51</v>
      </c>
      <c r="G137" s="26" t="str">
        <f>IF('Fee Receipt (Class-wise)'!C256="", "", 'Fee Receipt (Class-wise)'!C256)</f>
        <v/>
      </c>
      <c r="H137" s="25">
        <f>'Fee Receipt (Class-wise)'!K256</f>
        <v>650</v>
      </c>
      <c r="I137" s="23"/>
    </row>
    <row r="138" spans="1:9" ht="14.45" customHeight="1">
      <c r="A138" s="35"/>
      <c r="B138" s="25">
        <v>22</v>
      </c>
      <c r="C138" s="26" t="str">
        <f>IF('Fee Receipt (Class-wise)'!C227="", "", 'Fee Receipt (Class-wise)'!C227)</f>
        <v>EMEKA TESTIMONY</v>
      </c>
      <c r="D138" s="25">
        <f>'Fee Receipt (Class-wise)'!K227</f>
        <v>650</v>
      </c>
      <c r="E138" s="23"/>
      <c r="F138" s="25">
        <v>52</v>
      </c>
      <c r="G138" s="26" t="str">
        <f>IF('Fee Receipt (Class-wise)'!C257="", "", 'Fee Receipt (Class-wise)'!C257)</f>
        <v/>
      </c>
      <c r="H138" s="25">
        <f>'Fee Receipt (Class-wise)'!K257</f>
        <v>650</v>
      </c>
      <c r="I138" s="23"/>
    </row>
    <row r="139" spans="1:9" ht="14.45" customHeight="1">
      <c r="A139" s="35"/>
      <c r="B139" s="25">
        <v>23</v>
      </c>
      <c r="C139" s="26" t="str">
        <f>IF('Fee Receipt (Class-wise)'!C228="", "", 'Fee Receipt (Class-wise)'!C228)</f>
        <v>FRIMPONGMAA ADLAIDE</v>
      </c>
      <c r="D139" s="25">
        <f>'Fee Receipt (Class-wise)'!K228</f>
        <v>650</v>
      </c>
      <c r="E139" s="23"/>
      <c r="F139" s="25">
        <v>53</v>
      </c>
      <c r="G139" s="26" t="str">
        <f>IF('Fee Receipt (Class-wise)'!C258="", "", 'Fee Receipt (Class-wise)'!C258)</f>
        <v/>
      </c>
      <c r="H139" s="25">
        <f>'Fee Receipt (Class-wise)'!K258</f>
        <v>650</v>
      </c>
      <c r="I139" s="23"/>
    </row>
    <row r="140" spans="1:9" ht="14.45" customHeight="1">
      <c r="A140" s="35"/>
      <c r="B140" s="25">
        <v>24</v>
      </c>
      <c r="C140" s="26" t="str">
        <f>IF('Fee Receipt (Class-wise)'!C229="", "", 'Fee Receipt (Class-wise)'!C229)</f>
        <v>GYAMFI GIFTED</v>
      </c>
      <c r="D140" s="25">
        <f>'Fee Receipt (Class-wise)'!K229</f>
        <v>350</v>
      </c>
      <c r="E140" s="23"/>
      <c r="F140" s="25">
        <v>54</v>
      </c>
      <c r="G140" s="26" t="str">
        <f>IF('Fee Receipt (Class-wise)'!C259="", "", 'Fee Receipt (Class-wise)'!C259)</f>
        <v/>
      </c>
      <c r="H140" s="25">
        <f>'Fee Receipt (Class-wise)'!K259</f>
        <v>650</v>
      </c>
      <c r="I140" s="23"/>
    </row>
    <row r="141" spans="1:9" ht="14.45" customHeight="1">
      <c r="A141" s="35"/>
      <c r="B141" s="25">
        <v>25</v>
      </c>
      <c r="C141" s="26" t="str">
        <f>IF('Fee Receipt (Class-wise)'!C230="", "", 'Fee Receipt (Class-wise)'!C230)</f>
        <v>HADI LUKMAN</v>
      </c>
      <c r="D141" s="25">
        <f>'Fee Receipt (Class-wise)'!K230</f>
        <v>150</v>
      </c>
      <c r="E141" s="23"/>
      <c r="F141" s="25">
        <v>55</v>
      </c>
      <c r="G141" s="26" t="str">
        <f>IF('Fee Receipt (Class-wise)'!C260="", "", 'Fee Receipt (Class-wise)'!C260)</f>
        <v/>
      </c>
      <c r="H141" s="25">
        <f>'Fee Receipt (Class-wise)'!K260</f>
        <v>650</v>
      </c>
      <c r="I141" s="23"/>
    </row>
    <row r="142" spans="1:9" ht="14.45" customHeight="1">
      <c r="A142" s="35"/>
      <c r="B142" s="25">
        <v>26</v>
      </c>
      <c r="C142" s="26" t="str">
        <f>IF('Fee Receipt (Class-wise)'!C231="", "", 'Fee Receipt (Class-wise)'!C231)</f>
        <v>IBRAHIM BABA TAHIR</v>
      </c>
      <c r="D142" s="25">
        <f>'Fee Receipt (Class-wise)'!K231</f>
        <v>200</v>
      </c>
      <c r="E142" s="23"/>
      <c r="F142" s="25">
        <v>56</v>
      </c>
      <c r="G142" s="26" t="str">
        <f>IF('Fee Receipt (Class-wise)'!C261="", "", 'Fee Receipt (Class-wise)'!C261)</f>
        <v/>
      </c>
      <c r="H142" s="25">
        <f>'Fee Receipt (Class-wise)'!K261</f>
        <v>650</v>
      </c>
      <c r="I142" s="23"/>
    </row>
    <row r="143" spans="1:9" ht="14.45" customHeight="1">
      <c r="A143" s="35"/>
      <c r="B143" s="25">
        <v>27</v>
      </c>
      <c r="C143" s="26" t="str">
        <f>IF('Fee Receipt (Class-wise)'!C232="", "", 'Fee Receipt (Class-wise)'!C232)</f>
        <v>KABUTEY NADIA</v>
      </c>
      <c r="D143" s="25">
        <f>'Fee Receipt (Class-wise)'!K232</f>
        <v>150</v>
      </c>
      <c r="E143" s="23"/>
      <c r="F143" s="25">
        <v>57</v>
      </c>
      <c r="G143" s="26" t="str">
        <f>IF('Fee Receipt (Class-wise)'!C262="", "", 'Fee Receipt (Class-wise)'!C262)</f>
        <v/>
      </c>
      <c r="H143" s="25">
        <f>'Fee Receipt (Class-wise)'!K262</f>
        <v>650</v>
      </c>
      <c r="I143" s="23"/>
    </row>
    <row r="144" spans="1:9" ht="14.45" customHeight="1">
      <c r="A144" s="35"/>
      <c r="B144" s="25">
        <v>28</v>
      </c>
      <c r="C144" s="26" t="str">
        <f>IF('Fee Receipt (Class-wise)'!C233="", "", 'Fee Receipt (Class-wise)'!C233)</f>
        <v>KITCHER COURAGE</v>
      </c>
      <c r="D144" s="25">
        <f>'Fee Receipt (Class-wise)'!K233</f>
        <v>650</v>
      </c>
      <c r="E144" s="23"/>
      <c r="F144" s="25">
        <v>58</v>
      </c>
      <c r="G144" s="26" t="str">
        <f>IF('Fee Receipt (Class-wise)'!C263="", "", 'Fee Receipt (Class-wise)'!C263)</f>
        <v/>
      </c>
      <c r="H144" s="25">
        <f>'Fee Receipt (Class-wise)'!K263</f>
        <v>650</v>
      </c>
      <c r="I144" s="23"/>
    </row>
    <row r="145" spans="1:9" ht="14.45" customHeight="1">
      <c r="A145" s="35"/>
      <c r="B145" s="25">
        <v>29</v>
      </c>
      <c r="C145" s="26" t="str">
        <f>IF('Fee Receipt (Class-wise)'!C234="", "", 'Fee Receipt (Class-wise)'!C234)</f>
        <v>KOOMSON ROBERT</v>
      </c>
      <c r="D145" s="25">
        <f>'Fee Receipt (Class-wise)'!K234</f>
        <v>150</v>
      </c>
      <c r="E145" s="23"/>
      <c r="F145" s="25">
        <v>59</v>
      </c>
      <c r="G145" s="26" t="str">
        <f>IF('Fee Receipt (Class-wise)'!C264="", "", 'Fee Receipt (Class-wise)'!C264)</f>
        <v/>
      </c>
      <c r="H145" s="25">
        <f>'Fee Receipt (Class-wise)'!K264</f>
        <v>650</v>
      </c>
      <c r="I145" s="23"/>
    </row>
    <row r="146" spans="1:9" ht="14.45" customHeight="1">
      <c r="A146" s="35"/>
      <c r="B146" s="25">
        <v>30</v>
      </c>
      <c r="C146" s="26" t="str">
        <f>IF('Fee Receipt (Class-wise)'!C235="", "", 'Fee Receipt (Class-wise)'!C235)</f>
        <v>LARTEY JASON</v>
      </c>
      <c r="D146" s="25">
        <f>'Fee Receipt (Class-wise)'!K235</f>
        <v>630</v>
      </c>
      <c r="E146" s="23"/>
      <c r="F146" s="25">
        <v>60</v>
      </c>
      <c r="G146" s="26" t="str">
        <f>IF('Fee Receipt (Class-wise)'!C265="", "", 'Fee Receipt (Class-wise)'!C265)</f>
        <v/>
      </c>
      <c r="H146" s="25">
        <f>'Fee Receipt (Class-wise)'!K265</f>
        <v>650</v>
      </c>
      <c r="I146" s="23"/>
    </row>
    <row r="147" spans="1:9" ht="14.45" customHeight="1">
      <c r="A147" s="35"/>
      <c r="B147" s="25"/>
      <c r="C147" s="23"/>
      <c r="D147" s="23"/>
      <c r="E147" s="23"/>
      <c r="F147" s="33" t="s">
        <v>31</v>
      </c>
      <c r="G147" s="33"/>
      <c r="H147" s="24">
        <f>SUM(D117:D146)+SUM(H117:H146)</f>
        <v>25100</v>
      </c>
      <c r="I147" s="23"/>
    </row>
    <row r="148" spans="1:9" ht="14.45" customHeight="1">
      <c r="B148" s="23"/>
      <c r="C148" s="23"/>
      <c r="D148" s="23"/>
      <c r="E148" s="23"/>
      <c r="F148" s="23"/>
      <c r="G148" s="23"/>
      <c r="H148" s="23"/>
      <c r="I148" s="23"/>
    </row>
    <row r="149" spans="1:9" ht="14.45" customHeight="1">
      <c r="B149" s="23"/>
      <c r="C149" s="23"/>
      <c r="D149" s="23"/>
      <c r="E149" s="23"/>
      <c r="F149" s="23"/>
      <c r="G149" s="23"/>
      <c r="H149" s="23"/>
      <c r="I149" s="23"/>
    </row>
    <row r="150" spans="1:9" ht="14.45" customHeight="1">
      <c r="A150" s="49">
        <v>5</v>
      </c>
      <c r="B150" s="35" t="s">
        <v>33</v>
      </c>
      <c r="C150" s="35"/>
      <c r="D150" s="35"/>
      <c r="E150" s="35"/>
      <c r="F150" s="35"/>
      <c r="G150" s="35"/>
      <c r="H150" s="24" t="s">
        <v>36</v>
      </c>
      <c r="I150" s="23"/>
    </row>
    <row r="151" spans="1:9" ht="14.45" customHeight="1">
      <c r="A151" s="49"/>
      <c r="B151" s="23" t="s">
        <v>35</v>
      </c>
      <c r="C151" s="50" t="str">
        <f>IF('Fee Receipt (Class-wise)'!C270="", "", 'Fee Receipt (Class-wise)'!C270)</f>
        <v>KG-2</v>
      </c>
      <c r="D151" s="50"/>
      <c r="E151" s="23"/>
      <c r="F151" s="23"/>
      <c r="G151" s="23"/>
      <c r="H151" s="49">
        <f>IF(C151="", "", H184)</f>
        <v>22360</v>
      </c>
      <c r="I151" s="23"/>
    </row>
    <row r="152" spans="1:9" ht="14.45" customHeight="1">
      <c r="A152" s="49"/>
      <c r="B152" s="23" t="s">
        <v>34</v>
      </c>
      <c r="C152" s="50" t="str">
        <f>IF(C151="", "", 'Fee Receipt (Class-wise)'!$H$2)</f>
        <v>2025-26</v>
      </c>
      <c r="D152" s="50"/>
      <c r="E152" s="23"/>
      <c r="F152" s="23"/>
      <c r="G152" s="23"/>
      <c r="H152" s="49"/>
      <c r="I152" s="23"/>
    </row>
    <row r="153" spans="1:9" ht="14.45" customHeight="1">
      <c r="A153" s="35"/>
      <c r="B153" s="25" t="s">
        <v>1</v>
      </c>
      <c r="C153" s="25" t="s">
        <v>2</v>
      </c>
      <c r="D153" s="25" t="s">
        <v>9</v>
      </c>
      <c r="E153" s="23"/>
      <c r="F153" s="25" t="s">
        <v>1</v>
      </c>
      <c r="G153" s="25" t="s">
        <v>2</v>
      </c>
      <c r="H153" s="25" t="s">
        <v>9</v>
      </c>
      <c r="I153" s="23"/>
    </row>
    <row r="154" spans="1:9" ht="14.45" customHeight="1">
      <c r="A154" s="35"/>
      <c r="B154" s="25">
        <v>1</v>
      </c>
      <c r="C154" s="26" t="str">
        <f>IF('Fee Receipt (Class-wise)'!C273="", "", 'Fee Receipt (Class-wise)'!C273)</f>
        <v>ABDUL RAHIM RHAMAN</v>
      </c>
      <c r="D154" s="25">
        <f>'Fee Receipt (Class-wise)'!K273</f>
        <v>500</v>
      </c>
      <c r="E154" s="23"/>
      <c r="F154" s="25">
        <v>31</v>
      </c>
      <c r="G154" s="26" t="str">
        <f>IF('Fee Receipt (Class-wise)'!C303="", "", 'Fee Receipt (Class-wise)'!C303)</f>
        <v>GBADAM AMPOMAH ERIC</v>
      </c>
      <c r="H154" s="25">
        <f>'Fee Receipt (Class-wise)'!K303</f>
        <v>300</v>
      </c>
      <c r="I154" s="23"/>
    </row>
    <row r="155" spans="1:9" ht="14.45" customHeight="1">
      <c r="A155" s="35"/>
      <c r="B155" s="25">
        <v>2</v>
      </c>
      <c r="C155" s="26" t="str">
        <f>IF('Fee Receipt (Class-wise)'!C274="", "", 'Fee Receipt (Class-wise)'!C274)</f>
        <v>ABOTSI RHODA</v>
      </c>
      <c r="D155" s="25">
        <f>'Fee Receipt (Class-wise)'!K274</f>
        <v>250</v>
      </c>
      <c r="E155" s="23"/>
      <c r="F155" s="25">
        <v>32</v>
      </c>
      <c r="G155" s="26" t="str">
        <f>IF('Fee Receipt (Class-wise)'!C304="", "", 'Fee Receipt (Class-wise)'!C304)</f>
        <v>GYIMAH HUMPHREY</v>
      </c>
      <c r="H155" s="25">
        <f>'Fee Receipt (Class-wise)'!K304</f>
        <v>200</v>
      </c>
      <c r="I155" s="23"/>
    </row>
    <row r="156" spans="1:9" ht="14.45" customHeight="1">
      <c r="A156" s="35"/>
      <c r="B156" s="25">
        <v>3</v>
      </c>
      <c r="C156" s="26" t="str">
        <f>IF('Fee Receipt (Class-wise)'!C275="", "", 'Fee Receipt (Class-wise)'!C275)</f>
        <v>ADDEY GLORIA</v>
      </c>
      <c r="D156" s="25">
        <f>'Fee Receipt (Class-wise)'!K275</f>
        <v>650</v>
      </c>
      <c r="E156" s="23"/>
      <c r="F156" s="25">
        <v>33</v>
      </c>
      <c r="G156" s="26" t="str">
        <f>IF('Fee Receipt (Class-wise)'!C305="", "", 'Fee Receipt (Class-wise)'!C305)</f>
        <v>HANSON GABRIEL</v>
      </c>
      <c r="H156" s="25">
        <f>'Fee Receipt (Class-wise)'!K305</f>
        <v>0</v>
      </c>
      <c r="I156" s="23"/>
    </row>
    <row r="157" spans="1:9" ht="14.45" customHeight="1">
      <c r="A157" s="35"/>
      <c r="B157" s="25">
        <v>4</v>
      </c>
      <c r="C157" s="26" t="str">
        <f>IF('Fee Receipt (Class-wise)'!C276="", "", 'Fee Receipt (Class-wise)'!C276)</f>
        <v>ADDY TETTEH MICKEL</v>
      </c>
      <c r="D157" s="25">
        <f>'Fee Receipt (Class-wise)'!K276</f>
        <v>350</v>
      </c>
      <c r="E157" s="23"/>
      <c r="F157" s="25">
        <v>34</v>
      </c>
      <c r="G157" s="26" t="str">
        <f>IF('Fee Receipt (Class-wise)'!C306="", "", 'Fee Receipt (Class-wise)'!C306)</f>
        <v>IBRAHIM-RAZAK KHAIRIYAH</v>
      </c>
      <c r="H157" s="25">
        <f>'Fee Receipt (Class-wise)'!K306</f>
        <v>0</v>
      </c>
      <c r="I157" s="23"/>
    </row>
    <row r="158" spans="1:9" ht="14.45" customHeight="1">
      <c r="A158" s="35"/>
      <c r="B158" s="25">
        <v>5</v>
      </c>
      <c r="C158" s="26" t="str">
        <f>IF('Fee Receipt (Class-wise)'!C277="", "", 'Fee Receipt (Class-wise)'!C277)</f>
        <v>ADWUBI NUAKO BENEDICTA</v>
      </c>
      <c r="D158" s="25">
        <f>'Fee Receipt (Class-wise)'!K277</f>
        <v>650</v>
      </c>
      <c r="E158" s="23"/>
      <c r="F158" s="25">
        <v>35</v>
      </c>
      <c r="G158" s="26" t="str">
        <f>IF('Fee Receipt (Class-wise)'!C307="", "", 'Fee Receipt (Class-wise)'!C307)</f>
        <v>KORDORWU VIRGIL WISE</v>
      </c>
      <c r="H158" s="25">
        <f>'Fee Receipt (Class-wise)'!K307</f>
        <v>160</v>
      </c>
      <c r="I158" s="23"/>
    </row>
    <row r="159" spans="1:9" ht="14.45" customHeight="1">
      <c r="A159" s="35"/>
      <c r="B159" s="25">
        <v>6</v>
      </c>
      <c r="C159" s="26" t="str">
        <f>IF('Fee Receipt (Class-wise)'!C278="", "", 'Fee Receipt (Class-wise)'!C278)</f>
        <v>AGLONU WISDOM</v>
      </c>
      <c r="D159" s="25">
        <f>'Fee Receipt (Class-wise)'!K278</f>
        <v>350</v>
      </c>
      <c r="E159" s="23"/>
      <c r="F159" s="25">
        <v>36</v>
      </c>
      <c r="G159" s="26" t="str">
        <f>IF('Fee Receipt (Class-wise)'!C308="", "", 'Fee Receipt (Class-wise)'!C308)</f>
        <v>KWAMIN JARED</v>
      </c>
      <c r="H159" s="25">
        <f>'Fee Receipt (Class-wise)'!K308</f>
        <v>0</v>
      </c>
      <c r="I159" s="23"/>
    </row>
    <row r="160" spans="1:9" ht="14.45" customHeight="1">
      <c r="A160" s="35"/>
      <c r="B160" s="25">
        <v>7</v>
      </c>
      <c r="C160" s="26" t="str">
        <f>IF('Fee Receipt (Class-wise)'!C279="", "", 'Fee Receipt (Class-wise)'!C279)</f>
        <v>AGYAPONG JERRY</v>
      </c>
      <c r="D160" s="25">
        <f>'Fee Receipt (Class-wise)'!K279</f>
        <v>650</v>
      </c>
      <c r="E160" s="23"/>
      <c r="F160" s="25">
        <v>37</v>
      </c>
      <c r="G160" s="26" t="str">
        <f>IF('Fee Receipt (Class-wise)'!C309="", "", 'Fee Receipt (Class-wise)'!C309)</f>
        <v>LUKMAN MUYIIBA</v>
      </c>
      <c r="H160" s="25">
        <f>'Fee Receipt (Class-wise)'!K309</f>
        <v>0</v>
      </c>
      <c r="I160" s="23"/>
    </row>
    <row r="161" spans="1:9" ht="14.45" customHeight="1">
      <c r="A161" s="35"/>
      <c r="B161" s="25">
        <v>8</v>
      </c>
      <c r="C161" s="26" t="str">
        <f>IF('Fee Receipt (Class-wise)'!C280="", "", 'Fee Receipt (Class-wise)'!C280)</f>
        <v>AHAKUTOR GIFTY</v>
      </c>
      <c r="D161" s="25">
        <f>'Fee Receipt (Class-wise)'!K280</f>
        <v>650</v>
      </c>
      <c r="E161" s="23"/>
      <c r="F161" s="25">
        <v>38</v>
      </c>
      <c r="G161" s="26" t="str">
        <f>IF('Fee Receipt (Class-wise)'!C310="", "", 'Fee Receipt (Class-wise)'!C310)</f>
        <v>NORTEY RANSFORD</v>
      </c>
      <c r="H161" s="25">
        <f>'Fee Receipt (Class-wise)'!K310</f>
        <v>450</v>
      </c>
      <c r="I161" s="23"/>
    </row>
    <row r="162" spans="1:9" ht="14.45" customHeight="1">
      <c r="A162" s="35"/>
      <c r="B162" s="25">
        <v>9</v>
      </c>
      <c r="C162" s="26" t="str">
        <f>IF('Fee Receipt (Class-wise)'!C281="", "", 'Fee Receipt (Class-wise)'!C281)</f>
        <v>AHOTO BLESSING</v>
      </c>
      <c r="D162" s="25">
        <f>'Fee Receipt (Class-wise)'!K281</f>
        <v>400</v>
      </c>
      <c r="E162" s="23"/>
      <c r="F162" s="25">
        <v>39</v>
      </c>
      <c r="G162" s="26" t="str">
        <f>IF('Fee Receipt (Class-wise)'!C311="", "", 'Fee Receipt (Class-wise)'!C311)</f>
        <v>NYARKO JADEN</v>
      </c>
      <c r="H162" s="25">
        <f>'Fee Receipt (Class-wise)'!K311</f>
        <v>450</v>
      </c>
      <c r="I162" s="23"/>
    </row>
    <row r="163" spans="1:9" ht="14.45" customHeight="1">
      <c r="A163" s="35"/>
      <c r="B163" s="25">
        <v>10</v>
      </c>
      <c r="C163" s="26" t="str">
        <f>IF('Fee Receipt (Class-wise)'!C282="", "", 'Fee Receipt (Class-wise)'!C282)</f>
        <v>AIDOO LAWRENCIA</v>
      </c>
      <c r="D163" s="25">
        <f>'Fee Receipt (Class-wise)'!K282</f>
        <v>100</v>
      </c>
      <c r="E163" s="23"/>
      <c r="F163" s="25">
        <v>40</v>
      </c>
      <c r="G163" s="26" t="str">
        <f>IF('Fee Receipt (Class-wise)'!C312="", "", 'Fee Receipt (Class-wise)'!C312)</f>
        <v>OBOSU ADOM AARON</v>
      </c>
      <c r="H163" s="25">
        <f>'Fee Receipt (Class-wise)'!K312</f>
        <v>150</v>
      </c>
      <c r="I163" s="23"/>
    </row>
    <row r="164" spans="1:9" ht="14.45" customHeight="1">
      <c r="A164" s="35"/>
      <c r="B164" s="25">
        <v>11</v>
      </c>
      <c r="C164" s="26" t="str">
        <f>IF('Fee Receipt (Class-wise)'!C283="", "", 'Fee Receipt (Class-wise)'!C283)</f>
        <v>ALORWUYIE ESTHER</v>
      </c>
      <c r="D164" s="25">
        <f>'Fee Receipt (Class-wise)'!K283</f>
        <v>0</v>
      </c>
      <c r="E164" s="23"/>
      <c r="F164" s="25">
        <v>41</v>
      </c>
      <c r="G164" s="26" t="str">
        <f>IF('Fee Receipt (Class-wise)'!C313="", "", 'Fee Receipt (Class-wise)'!C313)</f>
        <v>OTOO REDEEMER</v>
      </c>
      <c r="H164" s="25">
        <f>'Fee Receipt (Class-wise)'!K313</f>
        <v>650</v>
      </c>
      <c r="I164" s="23"/>
    </row>
    <row r="165" spans="1:9" ht="14.45" customHeight="1">
      <c r="A165" s="35"/>
      <c r="B165" s="25">
        <v>12</v>
      </c>
      <c r="C165" s="26" t="str">
        <f>IF('Fee Receipt (Class-wise)'!C284="", "", 'Fee Receipt (Class-wise)'!C284)</f>
        <v>AMEDEKA SEDEM EMILY</v>
      </c>
      <c r="D165" s="25">
        <f>'Fee Receipt (Class-wise)'!K284</f>
        <v>650</v>
      </c>
      <c r="E165" s="23"/>
      <c r="F165" s="25">
        <v>42</v>
      </c>
      <c r="G165" s="26" t="str">
        <f>IF('Fee Receipt (Class-wise)'!C314="", "", 'Fee Receipt (Class-wise)'!C314)</f>
        <v>QUAICOE CAYSON</v>
      </c>
      <c r="H165" s="25">
        <f>'Fee Receipt (Class-wise)'!K314</f>
        <v>0</v>
      </c>
      <c r="I165" s="23"/>
    </row>
    <row r="166" spans="1:9" ht="14.45" customHeight="1">
      <c r="A166" s="35"/>
      <c r="B166" s="25">
        <v>13</v>
      </c>
      <c r="C166" s="26" t="str">
        <f>IF('Fee Receipt (Class-wise)'!C285="", "", 'Fee Receipt (Class-wise)'!C285)</f>
        <v>AMEDZA KING ERICSON</v>
      </c>
      <c r="D166" s="25">
        <f>'Fee Receipt (Class-wise)'!K285</f>
        <v>400</v>
      </c>
      <c r="E166" s="23"/>
      <c r="F166" s="25">
        <v>43</v>
      </c>
      <c r="G166" s="26" t="str">
        <f>IF('Fee Receipt (Class-wise)'!C315="", "", 'Fee Receipt (Class-wise)'!C315)</f>
        <v>QUAYSON VICTORIA</v>
      </c>
      <c r="H166" s="25">
        <f>'Fee Receipt (Class-wise)'!K315</f>
        <v>0</v>
      </c>
      <c r="I166" s="23"/>
    </row>
    <row r="167" spans="1:9" ht="14.45" customHeight="1">
      <c r="A167" s="35"/>
      <c r="B167" s="25">
        <v>14</v>
      </c>
      <c r="C167" s="26" t="str">
        <f>IF('Fee Receipt (Class-wise)'!C286="", "", 'Fee Receipt (Class-wise)'!C286)</f>
        <v>AMOAH HUBERT</v>
      </c>
      <c r="D167" s="25">
        <f>'Fee Receipt (Class-wise)'!K286</f>
        <v>650</v>
      </c>
      <c r="E167" s="23"/>
      <c r="F167" s="25">
        <v>44</v>
      </c>
      <c r="G167" s="26" t="str">
        <f>IF('Fee Receipt (Class-wise)'!C316="", "", 'Fee Receipt (Class-wise)'!C316)</f>
        <v>AGYEI ELIZABETH</v>
      </c>
      <c r="H167" s="25">
        <f>'Fee Receipt (Class-wise)'!K316</f>
        <v>150</v>
      </c>
      <c r="I167" s="23"/>
    </row>
    <row r="168" spans="1:9" ht="14.45" customHeight="1">
      <c r="A168" s="35"/>
      <c r="B168" s="25">
        <v>15</v>
      </c>
      <c r="C168" s="26" t="str">
        <f>IF('Fee Receipt (Class-wise)'!C287="", "", 'Fee Receipt (Class-wise)'!C287)</f>
        <v>ANOKYE KINGSFORD</v>
      </c>
      <c r="D168" s="25">
        <f>'Fee Receipt (Class-wise)'!K287</f>
        <v>0</v>
      </c>
      <c r="E168" s="23"/>
      <c r="F168" s="25">
        <v>45</v>
      </c>
      <c r="G168" s="26" t="str">
        <f>IF('Fee Receipt (Class-wise)'!C317="", "", 'Fee Receipt (Class-wise)'!C317)</f>
        <v>AGYEI ISSABELLA</v>
      </c>
      <c r="H168" s="25">
        <f>'Fee Receipt (Class-wise)'!K317</f>
        <v>150</v>
      </c>
      <c r="I168" s="23"/>
    </row>
    <row r="169" spans="1:9" ht="14.45" customHeight="1">
      <c r="A169" s="35"/>
      <c r="B169" s="25">
        <v>16</v>
      </c>
      <c r="C169" s="26" t="str">
        <f>IF('Fee Receipt (Class-wise)'!C288="", "", 'Fee Receipt (Class-wise)'!C288)</f>
        <v>ARTHUR NANA NHYIRABA RIGHTEOUS</v>
      </c>
      <c r="D169" s="25">
        <f>'Fee Receipt (Class-wise)'!K288</f>
        <v>550</v>
      </c>
      <c r="E169" s="23"/>
      <c r="F169" s="25">
        <v>46</v>
      </c>
      <c r="G169" s="26" t="str">
        <f>IF('Fee Receipt (Class-wise)'!C318="", "", 'Fee Receipt (Class-wise)'!C318)</f>
        <v>DOKU TRANSCEND</v>
      </c>
      <c r="H169" s="25">
        <f>'Fee Receipt (Class-wise)'!K318</f>
        <v>650</v>
      </c>
      <c r="I169" s="23"/>
    </row>
    <row r="170" spans="1:9" ht="14.45" customHeight="1">
      <c r="A170" s="35"/>
      <c r="B170" s="25">
        <v>17</v>
      </c>
      <c r="C170" s="26" t="str">
        <f>IF('Fee Receipt (Class-wise)'!C289="", "", 'Fee Receipt (Class-wise)'!C289)</f>
        <v>ASANTE NHYIRA</v>
      </c>
      <c r="D170" s="25">
        <f>'Fee Receipt (Class-wise)'!K289</f>
        <v>550</v>
      </c>
      <c r="E170" s="23"/>
      <c r="F170" s="25">
        <v>47</v>
      </c>
      <c r="G170" s="26" t="str">
        <f>IF('Fee Receipt (Class-wise)'!C319="", "", 'Fee Receipt (Class-wise)'!C319)</f>
        <v>RUFAI SUHYINI</v>
      </c>
      <c r="H170" s="25">
        <f>'Fee Receipt (Class-wise)'!K319</f>
        <v>650</v>
      </c>
      <c r="I170" s="23"/>
    </row>
    <row r="171" spans="1:9" ht="14.45" customHeight="1">
      <c r="A171" s="35"/>
      <c r="B171" s="25">
        <v>18</v>
      </c>
      <c r="C171" s="26" t="str">
        <f>IF('Fee Receipt (Class-wise)'!C290="", "", 'Fee Receipt (Class-wise)'!C290)</f>
        <v>ASIGBE RICHLOVE</v>
      </c>
      <c r="D171" s="25">
        <f>'Fee Receipt (Class-wise)'!K290</f>
        <v>250</v>
      </c>
      <c r="E171" s="23"/>
      <c r="F171" s="25">
        <v>48</v>
      </c>
      <c r="G171" s="26" t="str">
        <f>IF('Fee Receipt (Class-wise)'!C320="", "", 'Fee Receipt (Class-wise)'!C320)</f>
        <v>SORKPOR SHOWERS</v>
      </c>
      <c r="H171" s="25">
        <f>'Fee Receipt (Class-wise)'!K320</f>
        <v>650</v>
      </c>
      <c r="I171" s="23"/>
    </row>
    <row r="172" spans="1:9" ht="14.45" customHeight="1">
      <c r="A172" s="35"/>
      <c r="B172" s="25">
        <v>19</v>
      </c>
      <c r="C172" s="26" t="str">
        <f>IF('Fee Receipt (Class-wise)'!C291="", "", 'Fee Receipt (Class-wise)'!C291)</f>
        <v>ATAMBIRE DOROTHY</v>
      </c>
      <c r="D172" s="25">
        <f>'Fee Receipt (Class-wise)'!K291</f>
        <v>250</v>
      </c>
      <c r="E172" s="23"/>
      <c r="F172" s="25">
        <v>49</v>
      </c>
      <c r="G172" s="26" t="str">
        <f>IF('Fee Receipt (Class-wise)'!C321="", "", 'Fee Receipt (Class-wise)'!C321)</f>
        <v>TSEWU SELORM</v>
      </c>
      <c r="H172" s="25">
        <f>'Fee Receipt (Class-wise)'!K321</f>
        <v>0</v>
      </c>
      <c r="I172" s="23"/>
    </row>
    <row r="173" spans="1:9" ht="14.45" customHeight="1">
      <c r="A173" s="35"/>
      <c r="B173" s="25">
        <v>20</v>
      </c>
      <c r="C173" s="26" t="str">
        <f>IF('Fee Receipt (Class-wise)'!C292="", "", 'Fee Receipt (Class-wise)'!C292)</f>
        <v>ATINGA INNOCENT</v>
      </c>
      <c r="D173" s="25">
        <f>'Fee Receipt (Class-wise)'!K292</f>
        <v>650</v>
      </c>
      <c r="E173" s="23"/>
      <c r="F173" s="25">
        <v>50</v>
      </c>
      <c r="G173" s="26" t="str">
        <f>IF('Fee Receipt (Class-wise)'!C322="", "", 'Fee Receipt (Class-wise)'!C322)</f>
        <v>WADUDU MUSHARAFA</v>
      </c>
      <c r="H173" s="25">
        <f>'Fee Receipt (Class-wise)'!K322</f>
        <v>550</v>
      </c>
      <c r="I173" s="23"/>
    </row>
    <row r="174" spans="1:9" ht="14.45" customHeight="1">
      <c r="A174" s="35"/>
      <c r="B174" s="25">
        <v>21</v>
      </c>
      <c r="C174" s="26" t="str">
        <f>IF('Fee Receipt (Class-wise)'!C293="", "", 'Fee Receipt (Class-wise)'!C293)</f>
        <v>AWUKU MICHAEL</v>
      </c>
      <c r="D174" s="25">
        <f>'Fee Receipt (Class-wise)'!K293</f>
        <v>300</v>
      </c>
      <c r="E174" s="23"/>
      <c r="F174" s="25">
        <v>51</v>
      </c>
      <c r="G174" s="26" t="str">
        <f>IF('Fee Receipt (Class-wise)'!C323="", "", 'Fee Receipt (Class-wise)'!C323)</f>
        <v/>
      </c>
      <c r="H174" s="25">
        <f>'Fee Receipt (Class-wise)'!K323</f>
        <v>650</v>
      </c>
      <c r="I174" s="23"/>
    </row>
    <row r="175" spans="1:9" ht="14.45" customHeight="1">
      <c r="A175" s="35"/>
      <c r="B175" s="25">
        <v>22</v>
      </c>
      <c r="C175" s="26" t="str">
        <f>IF('Fee Receipt (Class-wise)'!C294="", "", 'Fee Receipt (Class-wise)'!C294)</f>
        <v>AZAMETI GRACE</v>
      </c>
      <c r="D175" s="25">
        <f>'Fee Receipt (Class-wise)'!K294</f>
        <v>0</v>
      </c>
      <c r="E175" s="23"/>
      <c r="F175" s="25">
        <v>52</v>
      </c>
      <c r="G175" s="26" t="str">
        <f>IF('Fee Receipt (Class-wise)'!C324="", "", 'Fee Receipt (Class-wise)'!C324)</f>
        <v/>
      </c>
      <c r="H175" s="25">
        <f>'Fee Receipt (Class-wise)'!K324</f>
        <v>650</v>
      </c>
      <c r="I175" s="23"/>
    </row>
    <row r="176" spans="1:9" ht="14.45" customHeight="1">
      <c r="A176" s="35"/>
      <c r="B176" s="25">
        <v>23</v>
      </c>
      <c r="C176" s="26" t="str">
        <f>IF('Fee Receipt (Class-wise)'!C295="", "", 'Fee Receipt (Class-wise)'!C295)</f>
        <v>BLERPO RANSFORD</v>
      </c>
      <c r="D176" s="25">
        <f>'Fee Receipt (Class-wise)'!K295</f>
        <v>0</v>
      </c>
      <c r="E176" s="23"/>
      <c r="F176" s="25">
        <v>53</v>
      </c>
      <c r="G176" s="26" t="str">
        <f>IF('Fee Receipt (Class-wise)'!C325="", "", 'Fee Receipt (Class-wise)'!C325)</f>
        <v/>
      </c>
      <c r="H176" s="25">
        <f>'Fee Receipt (Class-wise)'!K325</f>
        <v>650</v>
      </c>
      <c r="I176" s="23"/>
    </row>
    <row r="177" spans="1:9" ht="14.45" customHeight="1">
      <c r="A177" s="35"/>
      <c r="B177" s="25">
        <v>24</v>
      </c>
      <c r="C177" s="26" t="str">
        <f>IF('Fee Receipt (Class-wise)'!C296="", "", 'Fee Receipt (Class-wise)'!C296)</f>
        <v>BOAFO OHENEBA DESMOND</v>
      </c>
      <c r="D177" s="25">
        <f>'Fee Receipt (Class-wise)'!K296</f>
        <v>100</v>
      </c>
      <c r="E177" s="23"/>
      <c r="F177" s="25">
        <v>54</v>
      </c>
      <c r="G177" s="26" t="str">
        <f>IF('Fee Receipt (Class-wise)'!C326="", "", 'Fee Receipt (Class-wise)'!C326)</f>
        <v/>
      </c>
      <c r="H177" s="25">
        <f>'Fee Receipt (Class-wise)'!K326</f>
        <v>650</v>
      </c>
      <c r="I177" s="23"/>
    </row>
    <row r="178" spans="1:9" ht="14.45" customHeight="1">
      <c r="A178" s="35"/>
      <c r="B178" s="25">
        <v>25</v>
      </c>
      <c r="C178" s="26" t="str">
        <f>IF('Fee Receipt (Class-wise)'!C297="", "", 'Fee Receipt (Class-wise)'!C297)</f>
        <v>BOSOMPRAH HANNAH</v>
      </c>
      <c r="D178" s="25">
        <f>'Fee Receipt (Class-wise)'!K297</f>
        <v>650</v>
      </c>
      <c r="E178" s="23"/>
      <c r="F178" s="25">
        <v>55</v>
      </c>
      <c r="G178" s="26" t="str">
        <f>IF('Fee Receipt (Class-wise)'!C327="", "", 'Fee Receipt (Class-wise)'!C327)</f>
        <v/>
      </c>
      <c r="H178" s="25">
        <f>'Fee Receipt (Class-wise)'!K327</f>
        <v>650</v>
      </c>
      <c r="I178" s="23"/>
    </row>
    <row r="179" spans="1:9" ht="14.45" customHeight="1">
      <c r="A179" s="35"/>
      <c r="B179" s="25">
        <v>26</v>
      </c>
      <c r="C179" s="26" t="str">
        <f>IF('Fee Receipt (Class-wise)'!C298="", "", 'Fee Receipt (Class-wise)'!C298)</f>
        <v>BRUCE ROMELIA</v>
      </c>
      <c r="D179" s="25">
        <f>'Fee Receipt (Class-wise)'!K298</f>
        <v>250</v>
      </c>
      <c r="E179" s="23"/>
      <c r="F179" s="25">
        <v>56</v>
      </c>
      <c r="G179" s="26" t="str">
        <f>IF('Fee Receipt (Class-wise)'!C328="", "", 'Fee Receipt (Class-wise)'!C328)</f>
        <v/>
      </c>
      <c r="H179" s="25">
        <f>'Fee Receipt (Class-wise)'!K328</f>
        <v>650</v>
      </c>
      <c r="I179" s="23"/>
    </row>
    <row r="180" spans="1:9" ht="14.45" customHeight="1">
      <c r="A180" s="35"/>
      <c r="B180" s="25">
        <v>27</v>
      </c>
      <c r="C180" s="26" t="str">
        <f>IF('Fee Receipt (Class-wise)'!C299="", "", 'Fee Receipt (Class-wise)'!C299)</f>
        <v>COLE HADASSA</v>
      </c>
      <c r="D180" s="25">
        <f>'Fee Receipt (Class-wise)'!K299</f>
        <v>0</v>
      </c>
      <c r="E180" s="23"/>
      <c r="F180" s="25">
        <v>57</v>
      </c>
      <c r="G180" s="26" t="str">
        <f>IF('Fee Receipt (Class-wise)'!C329="", "", 'Fee Receipt (Class-wise)'!C329)</f>
        <v/>
      </c>
      <c r="H180" s="25">
        <f>'Fee Receipt (Class-wise)'!K329</f>
        <v>650</v>
      </c>
      <c r="I180" s="23"/>
    </row>
    <row r="181" spans="1:9" ht="14.45" customHeight="1">
      <c r="A181" s="35"/>
      <c r="B181" s="25">
        <v>28</v>
      </c>
      <c r="C181" s="26" t="str">
        <f>IF('Fee Receipt (Class-wise)'!C300="", "", 'Fee Receipt (Class-wise)'!C300)</f>
        <v>DORMEDZOE BLESSING</v>
      </c>
      <c r="D181" s="25">
        <f>'Fee Receipt (Class-wise)'!K300</f>
        <v>250</v>
      </c>
      <c r="E181" s="23"/>
      <c r="F181" s="25">
        <v>58</v>
      </c>
      <c r="G181" s="26" t="str">
        <f>IF('Fee Receipt (Class-wise)'!C330="", "", 'Fee Receipt (Class-wise)'!C330)</f>
        <v/>
      </c>
      <c r="H181" s="25">
        <f>'Fee Receipt (Class-wise)'!K330</f>
        <v>650</v>
      </c>
      <c r="I181" s="23"/>
    </row>
    <row r="182" spans="1:9" ht="14.45" customHeight="1">
      <c r="A182" s="35"/>
      <c r="B182" s="25">
        <v>29</v>
      </c>
      <c r="C182" s="26" t="str">
        <f>IF('Fee Receipt (Class-wise)'!C301="", "", 'Fee Receipt (Class-wise)'!C301)</f>
        <v>ESSEL KOFI TECHI</v>
      </c>
      <c r="D182" s="25">
        <f>'Fee Receipt (Class-wise)'!K301</f>
        <v>500</v>
      </c>
      <c r="E182" s="23"/>
      <c r="F182" s="25">
        <v>59</v>
      </c>
      <c r="G182" s="26" t="str">
        <f>IF('Fee Receipt (Class-wise)'!C331="", "", 'Fee Receipt (Class-wise)'!C331)</f>
        <v/>
      </c>
      <c r="H182" s="25">
        <f>'Fee Receipt (Class-wise)'!K331</f>
        <v>650</v>
      </c>
      <c r="I182" s="23"/>
    </row>
    <row r="183" spans="1:9" ht="14.45" customHeight="1">
      <c r="A183" s="35"/>
      <c r="B183" s="25">
        <v>30</v>
      </c>
      <c r="C183" s="26" t="str">
        <f>IF('Fee Receipt (Class-wise)'!C302="", "", 'Fee Receipt (Class-wise)'!C302)</f>
        <v>GAIUS MERCEDES</v>
      </c>
      <c r="D183" s="25">
        <f>'Fee Receipt (Class-wise)'!K302</f>
        <v>150</v>
      </c>
      <c r="E183" s="23"/>
      <c r="F183" s="25">
        <v>60</v>
      </c>
      <c r="G183" s="26" t="str">
        <f>IF('Fee Receipt (Class-wise)'!C332="", "", 'Fee Receipt (Class-wise)'!C332)</f>
        <v/>
      </c>
      <c r="H183" s="25">
        <f>'Fee Receipt (Class-wise)'!K332</f>
        <v>650</v>
      </c>
      <c r="I183" s="23"/>
    </row>
    <row r="184" spans="1:9" ht="14.45" customHeight="1">
      <c r="A184" s="35"/>
      <c r="B184" s="25"/>
      <c r="C184" s="23"/>
      <c r="D184" s="23"/>
      <c r="E184" s="23"/>
      <c r="F184" s="33" t="s">
        <v>31</v>
      </c>
      <c r="G184" s="33"/>
      <c r="H184" s="24">
        <f>SUM(D154:D183)+SUM(H154:H183)</f>
        <v>22360</v>
      </c>
      <c r="I184" s="23"/>
    </row>
    <row r="185" spans="1:9" ht="14.45" customHeight="1">
      <c r="B185" s="23"/>
      <c r="C185" s="23"/>
      <c r="D185" s="23"/>
      <c r="E185" s="23"/>
      <c r="F185" s="23"/>
      <c r="G185" s="23"/>
      <c r="H185" s="23"/>
      <c r="I185" s="23"/>
    </row>
    <row r="186" spans="1:9" ht="14.45" customHeight="1">
      <c r="B186" s="23"/>
      <c r="C186" s="23"/>
      <c r="D186" s="23"/>
      <c r="E186" s="23"/>
      <c r="F186" s="23"/>
      <c r="G186" s="23"/>
      <c r="H186" s="23"/>
      <c r="I186" s="23"/>
    </row>
    <row r="187" spans="1:9" ht="14.45" customHeight="1">
      <c r="A187" s="49">
        <v>6</v>
      </c>
      <c r="B187" s="35" t="s">
        <v>33</v>
      </c>
      <c r="C187" s="35"/>
      <c r="D187" s="35"/>
      <c r="E187" s="35"/>
      <c r="F187" s="35"/>
      <c r="G187" s="35"/>
      <c r="H187" s="24" t="s">
        <v>36</v>
      </c>
      <c r="I187" s="23"/>
    </row>
    <row r="188" spans="1:9" ht="14.45" customHeight="1">
      <c r="A188" s="49"/>
      <c r="B188" s="23" t="s">
        <v>35</v>
      </c>
      <c r="C188" s="50" t="str">
        <f>IF('Fee Receipt (Class-wise)'!C337="", "", 'Fee Receipt (Class-wise)'!C337)</f>
        <v>BASIC 1A</v>
      </c>
      <c r="D188" s="50"/>
      <c r="E188" s="23"/>
      <c r="F188" s="23"/>
      <c r="G188" s="23"/>
      <c r="H188" s="49">
        <f>IF(C188="", "", H221)</f>
        <v>33000</v>
      </c>
      <c r="I188" s="23"/>
    </row>
    <row r="189" spans="1:9" ht="14.45" customHeight="1">
      <c r="A189" s="49"/>
      <c r="B189" s="23" t="s">
        <v>34</v>
      </c>
      <c r="C189" s="50" t="str">
        <f>IF(C188="", "", 'Fee Receipt (Class-wise)'!$H$2)</f>
        <v>2025-26</v>
      </c>
      <c r="D189" s="50"/>
      <c r="E189" s="23"/>
      <c r="F189" s="23"/>
      <c r="G189" s="23"/>
      <c r="H189" s="49"/>
      <c r="I189" s="23"/>
    </row>
    <row r="190" spans="1:9" ht="14.45" customHeight="1">
      <c r="A190" s="35"/>
      <c r="B190" s="25" t="s">
        <v>1</v>
      </c>
      <c r="C190" s="25" t="s">
        <v>2</v>
      </c>
      <c r="D190" s="25" t="s">
        <v>9</v>
      </c>
      <c r="E190" s="23"/>
      <c r="F190" s="25" t="s">
        <v>1</v>
      </c>
      <c r="G190" s="25" t="s">
        <v>2</v>
      </c>
      <c r="H190" s="25" t="s">
        <v>9</v>
      </c>
      <c r="I190" s="23"/>
    </row>
    <row r="191" spans="1:9" ht="14.45" customHeight="1">
      <c r="A191" s="35"/>
      <c r="B191" s="25">
        <v>1</v>
      </c>
      <c r="C191" s="26" t="str">
        <f>IF('Fee Receipt (Class-wise)'!C340="", "", 'Fee Receipt (Class-wise)'!C340)</f>
        <v>ADJEI-MENSAH KOJO</v>
      </c>
      <c r="D191" s="25">
        <f>'Fee Receipt (Class-wise)'!K340</f>
        <v>410</v>
      </c>
      <c r="E191" s="23"/>
      <c r="F191" s="25">
        <v>31</v>
      </c>
      <c r="G191" s="26" t="str">
        <f>IF('Fee Receipt (Class-wise)'!C370="", "", 'Fee Receipt (Class-wise)'!C370)</f>
        <v/>
      </c>
      <c r="H191" s="25">
        <f>'Fee Receipt (Class-wise)'!K370</f>
        <v>710</v>
      </c>
      <c r="I191" s="23"/>
    </row>
    <row r="192" spans="1:9" ht="14.45" customHeight="1">
      <c r="A192" s="35"/>
      <c r="B192" s="25">
        <v>2</v>
      </c>
      <c r="C192" s="26" t="str">
        <f>IF('Fee Receipt (Class-wise)'!C341="", "", 'Fee Receipt (Class-wise)'!C341)</f>
        <v>ADZINU JOANA</v>
      </c>
      <c r="D192" s="25">
        <f>'Fee Receipt (Class-wise)'!K341</f>
        <v>410</v>
      </c>
      <c r="E192" s="23"/>
      <c r="F192" s="25">
        <v>32</v>
      </c>
      <c r="G192" s="26" t="str">
        <f>IF('Fee Receipt (Class-wise)'!C371="", "", 'Fee Receipt (Class-wise)'!C371)</f>
        <v/>
      </c>
      <c r="H192" s="25">
        <f>'Fee Receipt (Class-wise)'!K371</f>
        <v>710</v>
      </c>
      <c r="I192" s="23"/>
    </row>
    <row r="193" spans="1:9" ht="14.45" customHeight="1">
      <c r="A193" s="35"/>
      <c r="B193" s="25">
        <v>3</v>
      </c>
      <c r="C193" s="26" t="str">
        <f>IF('Fee Receipt (Class-wise)'!C342="", "", 'Fee Receipt (Class-wise)'!C342)</f>
        <v>AFARI ROSE</v>
      </c>
      <c r="D193" s="25">
        <f>'Fee Receipt (Class-wise)'!K342</f>
        <v>110</v>
      </c>
      <c r="E193" s="23"/>
      <c r="F193" s="25">
        <v>33</v>
      </c>
      <c r="G193" s="26" t="str">
        <f>IF('Fee Receipt (Class-wise)'!C372="", "", 'Fee Receipt (Class-wise)'!C372)</f>
        <v/>
      </c>
      <c r="H193" s="25">
        <f>'Fee Receipt (Class-wise)'!K372</f>
        <v>710</v>
      </c>
      <c r="I193" s="23"/>
    </row>
    <row r="194" spans="1:9" ht="14.45" customHeight="1">
      <c r="A194" s="35"/>
      <c r="B194" s="25">
        <v>4</v>
      </c>
      <c r="C194" s="26" t="str">
        <f>IF('Fee Receipt (Class-wise)'!C343="", "", 'Fee Receipt (Class-wise)'!C343)</f>
        <v>ALHASSAN YUSRA</v>
      </c>
      <c r="D194" s="25">
        <f>'Fee Receipt (Class-wise)'!K343</f>
        <v>600</v>
      </c>
      <c r="E194" s="23"/>
      <c r="F194" s="25">
        <v>34</v>
      </c>
      <c r="G194" s="26" t="str">
        <f>IF('Fee Receipt (Class-wise)'!C373="", "", 'Fee Receipt (Class-wise)'!C373)</f>
        <v/>
      </c>
      <c r="H194" s="25">
        <f>'Fee Receipt (Class-wise)'!K373</f>
        <v>710</v>
      </c>
      <c r="I194" s="23"/>
    </row>
    <row r="195" spans="1:9" ht="14.45" customHeight="1">
      <c r="A195" s="35"/>
      <c r="B195" s="25">
        <v>5</v>
      </c>
      <c r="C195" s="26" t="str">
        <f>IF('Fee Receipt (Class-wise)'!C344="", "", 'Fee Receipt (Class-wise)'!C344)</f>
        <v>AMPONSAH BERNICE</v>
      </c>
      <c r="D195" s="25">
        <f>'Fee Receipt (Class-wise)'!K344</f>
        <v>0</v>
      </c>
      <c r="E195" s="23"/>
      <c r="F195" s="25">
        <v>35</v>
      </c>
      <c r="G195" s="26" t="str">
        <f>IF('Fee Receipt (Class-wise)'!C374="", "", 'Fee Receipt (Class-wise)'!C374)</f>
        <v/>
      </c>
      <c r="H195" s="25">
        <f>'Fee Receipt (Class-wise)'!K374</f>
        <v>710</v>
      </c>
      <c r="I195" s="23"/>
    </row>
    <row r="196" spans="1:9" ht="14.45" customHeight="1">
      <c r="A196" s="35"/>
      <c r="B196" s="25">
        <v>6</v>
      </c>
      <c r="C196" s="26" t="str">
        <f>IF('Fee Receipt (Class-wise)'!C345="", "", 'Fee Receipt (Class-wise)'!C345)</f>
        <v>ARTHUR BERTRAND</v>
      </c>
      <c r="D196" s="25">
        <f>'Fee Receipt (Class-wise)'!K345</f>
        <v>460</v>
      </c>
      <c r="E196" s="23"/>
      <c r="F196" s="25">
        <v>36</v>
      </c>
      <c r="G196" s="26" t="str">
        <f>IF('Fee Receipt (Class-wise)'!C375="", "", 'Fee Receipt (Class-wise)'!C375)</f>
        <v/>
      </c>
      <c r="H196" s="25">
        <f>'Fee Receipt (Class-wise)'!K375</f>
        <v>710</v>
      </c>
      <c r="I196" s="23"/>
    </row>
    <row r="197" spans="1:9" ht="14.45" customHeight="1">
      <c r="A197" s="35"/>
      <c r="B197" s="25">
        <v>7</v>
      </c>
      <c r="C197" s="26" t="str">
        <f>IF('Fee Receipt (Class-wise)'!C323="", "", 'Fee Receipt (Class-wise)'!C323)</f>
        <v/>
      </c>
      <c r="D197" s="25">
        <f>'Fee Receipt (Class-wise)'!K346</f>
        <v>0</v>
      </c>
      <c r="E197" s="23"/>
      <c r="F197" s="25">
        <v>37</v>
      </c>
      <c r="G197" s="26" t="str">
        <f>IF('Fee Receipt (Class-wise)'!C376="", "", 'Fee Receipt (Class-wise)'!C376)</f>
        <v/>
      </c>
      <c r="H197" s="25">
        <f>'Fee Receipt (Class-wise)'!K376</f>
        <v>710</v>
      </c>
      <c r="I197" s="23"/>
    </row>
    <row r="198" spans="1:9" ht="14.45" customHeight="1">
      <c r="A198" s="35"/>
      <c r="B198" s="25">
        <v>8</v>
      </c>
      <c r="C198" s="26" t="str">
        <f>IF('Fee Receipt (Class-wise)'!C347="", "", 'Fee Receipt (Class-wise)'!C347)</f>
        <v>ASANTE KIMONA</v>
      </c>
      <c r="D198" s="25">
        <f>'Fee Receipt (Class-wise)'!K347</f>
        <v>460</v>
      </c>
      <c r="E198" s="23"/>
      <c r="F198" s="25">
        <v>38</v>
      </c>
      <c r="G198" s="26" t="str">
        <f>IF('Fee Receipt (Class-wise)'!C377="", "", 'Fee Receipt (Class-wise)'!C377)</f>
        <v/>
      </c>
      <c r="H198" s="25">
        <f>'Fee Receipt (Class-wise)'!K377</f>
        <v>710</v>
      </c>
      <c r="I198" s="23"/>
    </row>
    <row r="199" spans="1:9" ht="14.45" customHeight="1">
      <c r="A199" s="35"/>
      <c r="B199" s="25">
        <v>9</v>
      </c>
      <c r="C199" s="26" t="str">
        <f>IF('Fee Receipt (Class-wise)'!C348="", "", 'Fee Receipt (Class-wise)'!C348)</f>
        <v>ASEIDU HUDA</v>
      </c>
      <c r="D199" s="25">
        <f>'Fee Receipt (Class-wise)'!K348</f>
        <v>410</v>
      </c>
      <c r="E199" s="23"/>
      <c r="F199" s="25">
        <v>39</v>
      </c>
      <c r="G199" s="26" t="str">
        <f>IF('Fee Receipt (Class-wise)'!C378="", "", 'Fee Receipt (Class-wise)'!C378)</f>
        <v/>
      </c>
      <c r="H199" s="25">
        <f>'Fee Receipt (Class-wise)'!K378</f>
        <v>710</v>
      </c>
      <c r="I199" s="23"/>
    </row>
    <row r="200" spans="1:9" ht="14.45" customHeight="1">
      <c r="A200" s="35"/>
      <c r="B200" s="25">
        <v>10</v>
      </c>
      <c r="C200" s="26" t="str">
        <f>IF('Fee Receipt (Class-wise)'!C349="", "", 'Fee Receipt (Class-wise)'!C349)</f>
        <v>ASIO DELA LAUDINA</v>
      </c>
      <c r="D200" s="25">
        <f>'Fee Receipt (Class-wise)'!K349</f>
        <v>0</v>
      </c>
      <c r="E200" s="23"/>
      <c r="F200" s="25">
        <v>40</v>
      </c>
      <c r="G200" s="26" t="str">
        <f>IF('Fee Receipt (Class-wise)'!C379="", "", 'Fee Receipt (Class-wise)'!C379)</f>
        <v/>
      </c>
      <c r="H200" s="25">
        <f>'Fee Receipt (Class-wise)'!K379</f>
        <v>710</v>
      </c>
      <c r="I200" s="23"/>
    </row>
    <row r="201" spans="1:9" ht="14.45" customHeight="1">
      <c r="A201" s="35"/>
      <c r="B201" s="25">
        <v>11</v>
      </c>
      <c r="C201" s="26" t="str">
        <f>IF('Fee Receipt (Class-wise)'!C350="", "", 'Fee Receipt (Class-wise)'!C350)</f>
        <v>BINNEY SANDRA</v>
      </c>
      <c r="D201" s="25">
        <f>'Fee Receipt (Class-wise)'!K350</f>
        <v>0</v>
      </c>
      <c r="E201" s="23"/>
      <c r="F201" s="25">
        <v>41</v>
      </c>
      <c r="G201" s="26" t="str">
        <f>IF('Fee Receipt (Class-wise)'!C380="", "", 'Fee Receipt (Class-wise)'!C380)</f>
        <v/>
      </c>
      <c r="H201" s="25">
        <f>'Fee Receipt (Class-wise)'!K380</f>
        <v>710</v>
      </c>
      <c r="I201" s="23"/>
    </row>
    <row r="202" spans="1:9" ht="14.45" customHeight="1">
      <c r="A202" s="35"/>
      <c r="B202" s="25">
        <v>12</v>
      </c>
      <c r="C202" s="26" t="str">
        <f>IF('Fee Receipt (Class-wise)'!C351="", "", 'Fee Receipt (Class-wise)'!C351)</f>
        <v>DZOKOTO DESMOND</v>
      </c>
      <c r="D202" s="25">
        <f>'Fee Receipt (Class-wise)'!K351</f>
        <v>0</v>
      </c>
      <c r="E202" s="23"/>
      <c r="F202" s="25">
        <v>42</v>
      </c>
      <c r="G202" s="26" t="str">
        <f>IF('Fee Receipt (Class-wise)'!C381="", "", 'Fee Receipt (Class-wise)'!C381)</f>
        <v/>
      </c>
      <c r="H202" s="25">
        <f>'Fee Receipt (Class-wise)'!K381</f>
        <v>710</v>
      </c>
      <c r="I202" s="23"/>
    </row>
    <row r="203" spans="1:9" ht="14.45" customHeight="1">
      <c r="A203" s="35"/>
      <c r="B203" s="25">
        <v>13</v>
      </c>
      <c r="C203" s="26" t="str">
        <f>IF('Fee Receipt (Class-wise)'!C352="", "", 'Fee Receipt (Class-wise)'!C352)</f>
        <v>ESSILIFIE ALFRED</v>
      </c>
      <c r="D203" s="25">
        <f>'Fee Receipt (Class-wise)'!K352</f>
        <v>510</v>
      </c>
      <c r="E203" s="23"/>
      <c r="F203" s="25">
        <v>43</v>
      </c>
      <c r="G203" s="26" t="str">
        <f>IF('Fee Receipt (Class-wise)'!C382="", "", 'Fee Receipt (Class-wise)'!C382)</f>
        <v/>
      </c>
      <c r="H203" s="25">
        <f>'Fee Receipt (Class-wise)'!K382</f>
        <v>710</v>
      </c>
      <c r="I203" s="23"/>
    </row>
    <row r="204" spans="1:9" ht="14.45" customHeight="1">
      <c r="A204" s="35"/>
      <c r="B204" s="25">
        <v>14</v>
      </c>
      <c r="C204" s="26" t="str">
        <f>IF('Fee Receipt (Class-wise)'!C353="", "", 'Fee Receipt (Class-wise)'!C353)</f>
        <v>FOSU QUARM HUGO</v>
      </c>
      <c r="D204" s="25">
        <f>'Fee Receipt (Class-wise)'!K353</f>
        <v>0</v>
      </c>
      <c r="E204" s="23"/>
      <c r="F204" s="25">
        <v>44</v>
      </c>
      <c r="G204" s="26" t="str">
        <f>IF('Fee Receipt (Class-wise)'!C383="", "", 'Fee Receipt (Class-wise)'!C383)</f>
        <v/>
      </c>
      <c r="H204" s="25">
        <f>'Fee Receipt (Class-wise)'!K383</f>
        <v>710</v>
      </c>
      <c r="I204" s="23"/>
    </row>
    <row r="205" spans="1:9" ht="14.45" customHeight="1">
      <c r="A205" s="35"/>
      <c r="B205" s="25">
        <v>15</v>
      </c>
      <c r="C205" s="26" t="str">
        <f>IF('Fee Receipt (Class-wise)'!C354="", "", 'Fee Receipt (Class-wise)'!C354)</f>
        <v>GBAFA MAXWELL</v>
      </c>
      <c r="D205" s="25">
        <f>'Fee Receipt (Class-wise)'!K354</f>
        <v>710</v>
      </c>
      <c r="E205" s="23"/>
      <c r="F205" s="25">
        <v>45</v>
      </c>
      <c r="G205" s="26" t="str">
        <f>IF('Fee Receipt (Class-wise)'!C384="", "", 'Fee Receipt (Class-wise)'!C384)</f>
        <v/>
      </c>
      <c r="H205" s="25">
        <f>'Fee Receipt (Class-wise)'!K384</f>
        <v>710</v>
      </c>
      <c r="I205" s="23"/>
    </row>
    <row r="206" spans="1:9" ht="14.45" customHeight="1">
      <c r="A206" s="35"/>
      <c r="B206" s="25">
        <v>16</v>
      </c>
      <c r="C206" s="26" t="str">
        <f>IF('Fee Receipt (Class-wise)'!C355="", "", 'Fee Receipt (Class-wise)'!C355)</f>
        <v>HARUNA MARIAM</v>
      </c>
      <c r="D206" s="25">
        <f>'Fee Receipt (Class-wise)'!K355</f>
        <v>510</v>
      </c>
      <c r="E206" s="23"/>
      <c r="F206" s="25">
        <v>46</v>
      </c>
      <c r="G206" s="26" t="str">
        <f>IF('Fee Receipt (Class-wise)'!C385="", "", 'Fee Receipt (Class-wise)'!C385)</f>
        <v/>
      </c>
      <c r="H206" s="25">
        <f>'Fee Receipt (Class-wise)'!K385</f>
        <v>710</v>
      </c>
      <c r="I206" s="23"/>
    </row>
    <row r="207" spans="1:9" ht="14.45" customHeight="1">
      <c r="A207" s="35"/>
      <c r="B207" s="25">
        <v>17</v>
      </c>
      <c r="C207" s="26" t="str">
        <f>IF('Fee Receipt (Class-wise)'!C356="", "", 'Fee Receipt (Class-wise)'!C356)</f>
        <v>KATENOR BRIGHT</v>
      </c>
      <c r="D207" s="25">
        <f>'Fee Receipt (Class-wise)'!K356</f>
        <v>460</v>
      </c>
      <c r="E207" s="23"/>
      <c r="F207" s="25">
        <v>47</v>
      </c>
      <c r="G207" s="26" t="str">
        <f>IF('Fee Receipt (Class-wise)'!C386="", "", 'Fee Receipt (Class-wise)'!C386)</f>
        <v/>
      </c>
      <c r="H207" s="25">
        <f>'Fee Receipt (Class-wise)'!K386</f>
        <v>710</v>
      </c>
      <c r="I207" s="23"/>
    </row>
    <row r="208" spans="1:9" ht="14.45" customHeight="1">
      <c r="A208" s="35"/>
      <c r="B208" s="25">
        <v>18</v>
      </c>
      <c r="C208" s="26" t="str">
        <f>IF('Fee Receipt (Class-wise)'!C357="", "", 'Fee Receipt (Class-wise)'!C357)</f>
        <v>O T U ASEDA EKU</v>
      </c>
      <c r="D208" s="25">
        <f>'Fee Receipt (Class-wise)'!K357</f>
        <v>0</v>
      </c>
      <c r="E208" s="23"/>
      <c r="F208" s="25">
        <v>48</v>
      </c>
      <c r="G208" s="26" t="str">
        <f>IF('Fee Receipt (Class-wise)'!C387="", "", 'Fee Receipt (Class-wise)'!C387)</f>
        <v/>
      </c>
      <c r="H208" s="25">
        <f>'Fee Receipt (Class-wise)'!K387</f>
        <v>710</v>
      </c>
      <c r="I208" s="23"/>
    </row>
    <row r="209" spans="1:9" ht="14.45" customHeight="1">
      <c r="A209" s="35"/>
      <c r="B209" s="25">
        <v>19</v>
      </c>
      <c r="C209" s="26" t="str">
        <f>IF('Fee Receipt (Class-wise)'!C358="", "", 'Fee Receipt (Class-wise)'!C358)</f>
        <v>OSMAN ABDUL RHAMAN</v>
      </c>
      <c r="D209" s="25">
        <f>'Fee Receipt (Class-wise)'!K358</f>
        <v>300</v>
      </c>
      <c r="E209" s="23"/>
      <c r="F209" s="25">
        <v>49</v>
      </c>
      <c r="G209" s="26" t="str">
        <f>IF('Fee Receipt (Class-wise)'!C388="", "", 'Fee Receipt (Class-wise)'!C388)</f>
        <v/>
      </c>
      <c r="H209" s="25">
        <f>'Fee Receipt (Class-wise)'!K388</f>
        <v>710</v>
      </c>
      <c r="I209" s="23"/>
    </row>
    <row r="210" spans="1:9" ht="14.45" customHeight="1">
      <c r="A210" s="35"/>
      <c r="B210" s="25">
        <v>20</v>
      </c>
      <c r="C210" s="26" t="str">
        <f>IF('Fee Receipt (Class-wise)'!C359="", "", 'Fee Receipt (Class-wise)'!C359)</f>
        <v>OWUSU FODJOUR ROCK</v>
      </c>
      <c r="D210" s="25">
        <f>'Fee Receipt (Class-wise)'!K359</f>
        <v>710</v>
      </c>
      <c r="E210" s="23"/>
      <c r="F210" s="25">
        <v>50</v>
      </c>
      <c r="G210" s="26" t="str">
        <f>IF('Fee Receipt (Class-wise)'!C389="", "", 'Fee Receipt (Class-wise)'!C389)</f>
        <v/>
      </c>
      <c r="H210" s="25">
        <f>'Fee Receipt (Class-wise)'!K389</f>
        <v>710</v>
      </c>
      <c r="I210" s="23"/>
    </row>
    <row r="211" spans="1:9" ht="14.45" customHeight="1">
      <c r="A211" s="35"/>
      <c r="B211" s="25">
        <v>21</v>
      </c>
      <c r="C211" s="26" t="str">
        <f>IF('Fee Receipt (Class-wise)'!C360="", "", 'Fee Receipt (Class-wise)'!C360)</f>
        <v>QUAO DEDE RICHLOVE</v>
      </c>
      <c r="D211" s="25">
        <f>'Fee Receipt (Class-wise)'!K360</f>
        <v>560</v>
      </c>
      <c r="E211" s="23"/>
      <c r="F211" s="25">
        <v>51</v>
      </c>
      <c r="G211" s="26" t="str">
        <f>IF('Fee Receipt (Class-wise)'!C390="", "", 'Fee Receipt (Class-wise)'!C390)</f>
        <v/>
      </c>
      <c r="H211" s="25">
        <f>'Fee Receipt (Class-wise)'!K390</f>
        <v>710</v>
      </c>
      <c r="I211" s="23"/>
    </row>
    <row r="212" spans="1:9" ht="14.45" customHeight="1">
      <c r="A212" s="35"/>
      <c r="B212" s="25">
        <v>22</v>
      </c>
      <c r="C212" s="26" t="str">
        <f>IF('Fee Receipt (Class-wise)'!C361="", "", 'Fee Receipt (Class-wise)'!C361)</f>
        <v>QUAO ROBERT</v>
      </c>
      <c r="D212" s="25">
        <f>'Fee Receipt (Class-wise)'!K361</f>
        <v>410</v>
      </c>
      <c r="E212" s="23"/>
      <c r="F212" s="25">
        <v>52</v>
      </c>
      <c r="G212" s="26" t="str">
        <f>IF('Fee Receipt (Class-wise)'!C391="", "", 'Fee Receipt (Class-wise)'!C391)</f>
        <v/>
      </c>
      <c r="H212" s="25">
        <f>'Fee Receipt (Class-wise)'!K391</f>
        <v>710</v>
      </c>
      <c r="I212" s="23"/>
    </row>
    <row r="213" spans="1:9" ht="14.45" customHeight="1">
      <c r="A213" s="35"/>
      <c r="B213" s="25">
        <v>23</v>
      </c>
      <c r="C213" s="26" t="str">
        <f>IF('Fee Receipt (Class-wise)'!C362="", "", 'Fee Receipt (Class-wise)'!C362)</f>
        <v>ROBERTSON DONATELLA</v>
      </c>
      <c r="D213" s="25">
        <f>'Fee Receipt (Class-wise)'!K362</f>
        <v>410</v>
      </c>
      <c r="E213" s="23"/>
      <c r="F213" s="25">
        <v>53</v>
      </c>
      <c r="G213" s="26" t="str">
        <f>IF('Fee Receipt (Class-wise)'!C392="", "", 'Fee Receipt (Class-wise)'!C392)</f>
        <v/>
      </c>
      <c r="H213" s="25">
        <f>'Fee Receipt (Class-wise)'!K392</f>
        <v>710</v>
      </c>
      <c r="I213" s="23"/>
    </row>
    <row r="214" spans="1:9" ht="14.45" customHeight="1">
      <c r="A214" s="35"/>
      <c r="B214" s="25">
        <v>24</v>
      </c>
      <c r="C214" s="26" t="str">
        <f>IF('Fee Receipt (Class-wise)'!C363="", "", 'Fee Receipt (Class-wise)'!C363)</f>
        <v>TETTEH NANCY</v>
      </c>
      <c r="D214" s="25">
        <f>'Fee Receipt (Class-wise)'!K363</f>
        <v>710</v>
      </c>
      <c r="E214" s="23"/>
      <c r="F214" s="25">
        <v>54</v>
      </c>
      <c r="G214" s="26" t="str">
        <f>IF('Fee Receipt (Class-wise)'!C393="", "", 'Fee Receipt (Class-wise)'!C393)</f>
        <v/>
      </c>
      <c r="H214" s="25">
        <f>'Fee Receipt (Class-wise)'!K393</f>
        <v>710</v>
      </c>
      <c r="I214" s="23"/>
    </row>
    <row r="215" spans="1:9" ht="14.45" customHeight="1">
      <c r="A215" s="35"/>
      <c r="B215" s="25">
        <v>25</v>
      </c>
      <c r="C215" s="26" t="str">
        <f>IF('Fee Receipt (Class-wise)'!C364="", "", 'Fee Receipt (Class-wise)'!C364)</f>
        <v>ABAYATEYE GODWILL</v>
      </c>
      <c r="D215" s="25">
        <f>'Fee Receipt (Class-wise)'!K364</f>
        <v>0</v>
      </c>
      <c r="E215" s="23"/>
      <c r="F215" s="25">
        <v>55</v>
      </c>
      <c r="G215" s="26" t="str">
        <f>IF('Fee Receipt (Class-wise)'!C394="", "", 'Fee Receipt (Class-wise)'!C394)</f>
        <v/>
      </c>
      <c r="H215" s="25">
        <f>'Fee Receipt (Class-wise)'!K394</f>
        <v>710</v>
      </c>
      <c r="I215" s="23"/>
    </row>
    <row r="216" spans="1:9" ht="14.45" customHeight="1">
      <c r="A216" s="35"/>
      <c r="B216" s="25">
        <v>26</v>
      </c>
      <c r="C216" s="26" t="str">
        <f>IF('Fee Receipt (Class-wise)'!C365="", "", 'Fee Receipt (Class-wise)'!C365)</f>
        <v/>
      </c>
      <c r="D216" s="25">
        <f>'Fee Receipt (Class-wise)'!K365</f>
        <v>710</v>
      </c>
      <c r="E216" s="23"/>
      <c r="F216" s="25">
        <v>56</v>
      </c>
      <c r="G216" s="26" t="str">
        <f>IF('Fee Receipt (Class-wise)'!C395="", "", 'Fee Receipt (Class-wise)'!C395)</f>
        <v/>
      </c>
      <c r="H216" s="25">
        <f>'Fee Receipt (Class-wise)'!K395</f>
        <v>710</v>
      </c>
      <c r="I216" s="23"/>
    </row>
    <row r="217" spans="1:9" ht="14.45" customHeight="1">
      <c r="A217" s="35"/>
      <c r="B217" s="25">
        <v>27</v>
      </c>
      <c r="C217" s="26" t="str">
        <f>IF('Fee Receipt (Class-wise)'!C366="", "", 'Fee Receipt (Class-wise)'!C366)</f>
        <v/>
      </c>
      <c r="D217" s="25">
        <f>'Fee Receipt (Class-wise)'!K366</f>
        <v>710</v>
      </c>
      <c r="E217" s="23"/>
      <c r="F217" s="25">
        <v>57</v>
      </c>
      <c r="G217" s="26" t="str">
        <f>IF('Fee Receipt (Class-wise)'!C396="", "", 'Fee Receipt (Class-wise)'!C396)</f>
        <v/>
      </c>
      <c r="H217" s="25">
        <f>'Fee Receipt (Class-wise)'!K396</f>
        <v>710</v>
      </c>
      <c r="I217" s="23"/>
    </row>
    <row r="218" spans="1:9" ht="14.45" customHeight="1">
      <c r="A218" s="35"/>
      <c r="B218" s="25">
        <v>28</v>
      </c>
      <c r="C218" s="26" t="str">
        <f>IF('Fee Receipt (Class-wise)'!C367="", "", 'Fee Receipt (Class-wise)'!C367)</f>
        <v/>
      </c>
      <c r="D218" s="25">
        <f>'Fee Receipt (Class-wise)'!K367</f>
        <v>710</v>
      </c>
      <c r="E218" s="23"/>
      <c r="F218" s="25">
        <v>58</v>
      </c>
      <c r="G218" s="26" t="str">
        <f>IF('Fee Receipt (Class-wise)'!C397="", "", 'Fee Receipt (Class-wise)'!C397)</f>
        <v/>
      </c>
      <c r="H218" s="25">
        <f>'Fee Receipt (Class-wise)'!K397</f>
        <v>710</v>
      </c>
      <c r="I218" s="23"/>
    </row>
    <row r="219" spans="1:9" ht="14.45" customHeight="1">
      <c r="A219" s="35"/>
      <c r="B219" s="25">
        <v>29</v>
      </c>
      <c r="C219" s="26" t="str">
        <f>IF('Fee Receipt (Class-wise)'!C368="", "", 'Fee Receipt (Class-wise)'!C368)</f>
        <v/>
      </c>
      <c r="D219" s="25">
        <f>'Fee Receipt (Class-wise)'!K368</f>
        <v>710</v>
      </c>
      <c r="E219" s="23"/>
      <c r="F219" s="25">
        <v>59</v>
      </c>
      <c r="G219" s="26" t="str">
        <f>IF('Fee Receipt (Class-wise)'!C398="", "", 'Fee Receipt (Class-wise)'!C398)</f>
        <v/>
      </c>
      <c r="H219" s="25">
        <f>'Fee Receipt (Class-wise)'!K398</f>
        <v>710</v>
      </c>
      <c r="I219" s="23"/>
    </row>
    <row r="220" spans="1:9" ht="14.45" customHeight="1">
      <c r="A220" s="35"/>
      <c r="B220" s="25">
        <v>30</v>
      </c>
      <c r="C220" s="26" t="str">
        <f>IF('Fee Receipt (Class-wise)'!C369="", "", 'Fee Receipt (Class-wise)'!C369)</f>
        <v/>
      </c>
      <c r="D220" s="25">
        <f>'Fee Receipt (Class-wise)'!K369</f>
        <v>710</v>
      </c>
      <c r="E220" s="23"/>
      <c r="F220" s="25">
        <v>60</v>
      </c>
      <c r="G220" s="26" t="str">
        <f>IF('Fee Receipt (Class-wise)'!C399="", "", 'Fee Receipt (Class-wise)'!C399)</f>
        <v/>
      </c>
      <c r="H220" s="25">
        <f>'Fee Receipt (Class-wise)'!K399</f>
        <v>710</v>
      </c>
      <c r="I220" s="23"/>
    </row>
    <row r="221" spans="1:9" ht="14.45" customHeight="1">
      <c r="A221" s="35"/>
      <c r="B221" s="25"/>
      <c r="C221" s="23"/>
      <c r="D221" s="23"/>
      <c r="E221" s="23"/>
      <c r="F221" s="33" t="s">
        <v>31</v>
      </c>
      <c r="G221" s="33"/>
      <c r="H221" s="24">
        <f>SUM(D191:D220)+SUM(H191:H220)</f>
        <v>33000</v>
      </c>
      <c r="I221" s="23"/>
    </row>
    <row r="222" spans="1:9" ht="14.45" customHeight="1">
      <c r="B222" s="23"/>
      <c r="C222" s="23"/>
      <c r="D222" s="23"/>
      <c r="E222" s="23"/>
      <c r="F222" s="23"/>
      <c r="G222" s="23"/>
      <c r="H222" s="23"/>
      <c r="I222" s="23"/>
    </row>
    <row r="223" spans="1:9" ht="14.45" customHeight="1">
      <c r="B223" s="23"/>
      <c r="C223" s="23"/>
      <c r="D223" s="23"/>
      <c r="E223" s="23"/>
      <c r="F223" s="23"/>
      <c r="G223" s="23"/>
      <c r="H223" s="23"/>
      <c r="I223" s="23"/>
    </row>
    <row r="224" spans="1:9" ht="14.45" customHeight="1">
      <c r="A224" s="49">
        <v>7</v>
      </c>
      <c r="B224" s="35" t="s">
        <v>33</v>
      </c>
      <c r="C224" s="35"/>
      <c r="D224" s="35"/>
      <c r="E224" s="35"/>
      <c r="F224" s="35"/>
      <c r="G224" s="35"/>
      <c r="H224" s="24" t="s">
        <v>36</v>
      </c>
      <c r="I224" s="23"/>
    </row>
    <row r="225" spans="1:9" ht="14.45" customHeight="1">
      <c r="A225" s="49"/>
      <c r="B225" s="23" t="s">
        <v>35</v>
      </c>
      <c r="C225" s="50" t="str">
        <f>IF('Fee Receipt (Class-wise)'!C404="", "", 'Fee Receipt (Class-wise)'!C404)</f>
        <v>BASIC 1B</v>
      </c>
      <c r="D225" s="50"/>
      <c r="E225" s="23"/>
      <c r="F225" s="23"/>
      <c r="G225" s="23"/>
      <c r="H225" s="49">
        <f>IF(C225="", "", H258)</f>
        <v>31470</v>
      </c>
      <c r="I225" s="23"/>
    </row>
    <row r="226" spans="1:9" ht="14.45" customHeight="1">
      <c r="A226" s="49"/>
      <c r="B226" s="23" t="s">
        <v>34</v>
      </c>
      <c r="C226" s="50" t="str">
        <f>IF(C225="", "", 'Fee Receipt (Class-wise)'!$H$2)</f>
        <v>2025-26</v>
      </c>
      <c r="D226" s="50"/>
      <c r="E226" s="23"/>
      <c r="F226" s="23"/>
      <c r="G226" s="23"/>
      <c r="H226" s="49"/>
      <c r="I226" s="23"/>
    </row>
    <row r="227" spans="1:9" ht="14.45" customHeight="1">
      <c r="A227" s="35"/>
      <c r="B227" s="25" t="s">
        <v>1</v>
      </c>
      <c r="C227" s="25" t="s">
        <v>2</v>
      </c>
      <c r="D227" s="25" t="s">
        <v>9</v>
      </c>
      <c r="E227" s="23"/>
      <c r="F227" s="25" t="s">
        <v>1</v>
      </c>
      <c r="G227" s="25" t="s">
        <v>2</v>
      </c>
      <c r="H227" s="25" t="s">
        <v>9</v>
      </c>
      <c r="I227" s="23"/>
    </row>
    <row r="228" spans="1:9" ht="14.45" customHeight="1">
      <c r="A228" s="35"/>
      <c r="B228" s="25">
        <v>1</v>
      </c>
      <c r="C228" s="26" t="str">
        <f>IF('Fee Receipt (Class-wise)'!C407="", "", 'Fee Receipt (Class-wise)'!C407)</f>
        <v>ABDUL-RAZAK ZULANIAN</v>
      </c>
      <c r="D228" s="25">
        <f>'Fee Receipt (Class-wise)'!K407</f>
        <v>0</v>
      </c>
      <c r="E228" s="23"/>
      <c r="F228" s="25">
        <v>31</v>
      </c>
      <c r="G228" s="26" t="str">
        <f>IF('Fee Receipt (Class-wise)'!C437="", "", 'Fee Receipt (Class-wise)'!C437)</f>
        <v/>
      </c>
      <c r="H228" s="25">
        <f>'Fee Receipt (Class-wise)'!K437</f>
        <v>710</v>
      </c>
      <c r="I228" s="23"/>
    </row>
    <row r="229" spans="1:9" ht="14.45" customHeight="1">
      <c r="A229" s="35"/>
      <c r="B229" s="25">
        <v>2</v>
      </c>
      <c r="C229" s="26" t="str">
        <f>IF('Fee Receipt (Class-wise)'!C408="", "", 'Fee Receipt (Class-wise)'!C408)</f>
        <v>ABUSAH SEYRAM VICTORIA</v>
      </c>
      <c r="D229" s="25">
        <f>'Fee Receipt (Class-wise)'!K408</f>
        <v>210</v>
      </c>
      <c r="E229" s="23"/>
      <c r="F229" s="25">
        <v>32</v>
      </c>
      <c r="G229" s="26" t="str">
        <f>IF('Fee Receipt (Class-wise)'!C438="", "", 'Fee Receipt (Class-wise)'!C438)</f>
        <v/>
      </c>
      <c r="H229" s="25">
        <f>'Fee Receipt (Class-wise)'!K438</f>
        <v>710</v>
      </c>
      <c r="I229" s="23"/>
    </row>
    <row r="230" spans="1:9" ht="14.45" customHeight="1">
      <c r="A230" s="35"/>
      <c r="B230" s="25">
        <v>3</v>
      </c>
      <c r="C230" s="26" t="str">
        <f>IF('Fee Receipt (Class-wise)'!C409="", "", 'Fee Receipt (Class-wise)'!C409)</f>
        <v>AGBODZA EMMANUELLA</v>
      </c>
      <c r="D230" s="25">
        <f>'Fee Receipt (Class-wise)'!K409</f>
        <v>110</v>
      </c>
      <c r="E230" s="23"/>
      <c r="F230" s="25">
        <v>33</v>
      </c>
      <c r="G230" s="26" t="str">
        <f>IF('Fee Receipt (Class-wise)'!C439="", "", 'Fee Receipt (Class-wise)'!C439)</f>
        <v/>
      </c>
      <c r="H230" s="25">
        <f>'Fee Receipt (Class-wise)'!K439</f>
        <v>710</v>
      </c>
      <c r="I230" s="23"/>
    </row>
    <row r="231" spans="1:9" ht="14.45" customHeight="1">
      <c r="A231" s="35"/>
      <c r="B231" s="25">
        <v>4</v>
      </c>
      <c r="C231" s="26" t="str">
        <f>IF('Fee Receipt (Class-wise)'!C410="", "", 'Fee Receipt (Class-wise)'!C410)</f>
        <v>AKORTIA REDEEMER</v>
      </c>
      <c r="D231" s="25">
        <f>'Fee Receipt (Class-wise)'!K410</f>
        <v>510</v>
      </c>
      <c r="E231" s="23"/>
      <c r="F231" s="25">
        <v>34</v>
      </c>
      <c r="G231" s="26" t="str">
        <f>IF('Fee Receipt (Class-wise)'!C440="", "", 'Fee Receipt (Class-wise)'!C440)</f>
        <v/>
      </c>
      <c r="H231" s="25">
        <f>'Fee Receipt (Class-wise)'!K440</f>
        <v>710</v>
      </c>
      <c r="I231" s="23"/>
    </row>
    <row r="232" spans="1:9" ht="14.45" customHeight="1">
      <c r="A232" s="35"/>
      <c r="B232" s="25">
        <v>5</v>
      </c>
      <c r="C232" s="26" t="str">
        <f>IF('Fee Receipt (Class-wise)'!C411="", "", 'Fee Receipt (Class-wise)'!C411)</f>
        <v>AMLALO MARVIN</v>
      </c>
      <c r="D232" s="25">
        <f>'Fee Receipt (Class-wise)'!K411</f>
        <v>0</v>
      </c>
      <c r="E232" s="23"/>
      <c r="F232" s="25">
        <v>35</v>
      </c>
      <c r="G232" s="26" t="str">
        <f>IF('Fee Receipt (Class-wise)'!C441="", "", 'Fee Receipt (Class-wise)'!C441)</f>
        <v/>
      </c>
      <c r="H232" s="25">
        <f>'Fee Receipt (Class-wise)'!K441</f>
        <v>710</v>
      </c>
      <c r="I232" s="23"/>
    </row>
    <row r="233" spans="1:9" ht="14.45" customHeight="1">
      <c r="A233" s="35"/>
      <c r="B233" s="25">
        <v>6</v>
      </c>
      <c r="C233" s="26" t="str">
        <f>IF('Fee Receipt (Class-wise)'!C412="", "", 'Fee Receipt (Class-wise)'!C412)</f>
        <v>AMU JULIANA</v>
      </c>
      <c r="D233" s="25">
        <f>'Fee Receipt (Class-wise)'!K412</f>
        <v>410</v>
      </c>
      <c r="E233" s="23"/>
      <c r="F233" s="25">
        <v>36</v>
      </c>
      <c r="G233" s="26" t="str">
        <f>IF('Fee Receipt (Class-wise)'!C442="", "", 'Fee Receipt (Class-wise)'!C442)</f>
        <v/>
      </c>
      <c r="H233" s="25">
        <f>'Fee Receipt (Class-wise)'!K442</f>
        <v>710</v>
      </c>
      <c r="I233" s="23"/>
    </row>
    <row r="234" spans="1:9" ht="14.45" customHeight="1">
      <c r="A234" s="35"/>
      <c r="B234" s="25">
        <v>7</v>
      </c>
      <c r="C234" s="26" t="str">
        <f>IF('Fee Receipt (Class-wise)'!C413="", "", 'Fee Receipt (Class-wise)'!C413)</f>
        <v>ATINGA JOSEPHINE</v>
      </c>
      <c r="D234" s="25">
        <f>'Fee Receipt (Class-wise)'!K413</f>
        <v>0</v>
      </c>
      <c r="E234" s="23"/>
      <c r="F234" s="25">
        <v>37</v>
      </c>
      <c r="G234" s="26" t="str">
        <f>IF('Fee Receipt (Class-wise)'!C443="", "", 'Fee Receipt (Class-wise)'!C443)</f>
        <v/>
      </c>
      <c r="H234" s="25">
        <f>'Fee Receipt (Class-wise)'!K443</f>
        <v>710</v>
      </c>
      <c r="I234" s="23"/>
    </row>
    <row r="235" spans="1:9" ht="14.45" customHeight="1">
      <c r="A235" s="35"/>
      <c r="B235" s="25">
        <v>8</v>
      </c>
      <c r="C235" s="26" t="str">
        <f>IF('Fee Receipt (Class-wise)'!C414="", "", 'Fee Receipt (Class-wise)'!C414)</f>
        <v>AYIN THEODORA</v>
      </c>
      <c r="D235" s="25">
        <f>'Fee Receipt (Class-wise)'!K414</f>
        <v>410</v>
      </c>
      <c r="E235" s="23"/>
      <c r="F235" s="25">
        <v>38</v>
      </c>
      <c r="G235" s="26" t="str">
        <f>IF('Fee Receipt (Class-wise)'!C444="", "", 'Fee Receipt (Class-wise)'!C444)</f>
        <v/>
      </c>
      <c r="H235" s="25">
        <f>'Fee Receipt (Class-wise)'!K444</f>
        <v>710</v>
      </c>
      <c r="I235" s="23"/>
    </row>
    <row r="236" spans="1:9" ht="14.45" customHeight="1">
      <c r="A236" s="35"/>
      <c r="B236" s="25">
        <v>9</v>
      </c>
      <c r="C236" s="26" t="str">
        <f>IF('Fee Receipt (Class-wise)'!C415="", "", 'Fee Receipt (Class-wise)'!C415)</f>
        <v>AYIN THEODOSIA</v>
      </c>
      <c r="D236" s="25">
        <f>'Fee Receipt (Class-wise)'!K415</f>
        <v>410</v>
      </c>
      <c r="E236" s="23"/>
      <c r="F236" s="25">
        <v>39</v>
      </c>
      <c r="G236" s="26" t="str">
        <f>IF('Fee Receipt (Class-wise)'!C445="", "", 'Fee Receipt (Class-wise)'!C445)</f>
        <v/>
      </c>
      <c r="H236" s="25">
        <f>'Fee Receipt (Class-wise)'!K445</f>
        <v>710</v>
      </c>
      <c r="I236" s="23"/>
    </row>
    <row r="237" spans="1:9" ht="14.45" customHeight="1">
      <c r="A237" s="35"/>
      <c r="B237" s="25">
        <v>10</v>
      </c>
      <c r="C237" s="26" t="str">
        <f>IF('Fee Receipt (Class-wise)'!C416="", "", 'Fee Receipt (Class-wise)'!C416)</f>
        <v>FOGAH BETTY</v>
      </c>
      <c r="D237" s="25">
        <f>'Fee Receipt (Class-wise)'!K416</f>
        <v>210</v>
      </c>
      <c r="E237" s="23"/>
      <c r="F237" s="25">
        <v>40</v>
      </c>
      <c r="G237" s="26" t="str">
        <f>IF('Fee Receipt (Class-wise)'!C446="", "", 'Fee Receipt (Class-wise)'!C446)</f>
        <v/>
      </c>
      <c r="H237" s="25">
        <f>'Fee Receipt (Class-wise)'!K446</f>
        <v>710</v>
      </c>
      <c r="I237" s="23"/>
    </row>
    <row r="238" spans="1:9" ht="14.45" customHeight="1">
      <c r="A238" s="35"/>
      <c r="B238" s="25">
        <v>11</v>
      </c>
      <c r="C238" s="26" t="str">
        <f>IF('Fee Receipt (Class-wise)'!C417="", "", 'Fee Receipt (Class-wise)'!C417)</f>
        <v>HARUNA NASARA</v>
      </c>
      <c r="D238" s="25">
        <f>'Fee Receipt (Class-wise)'!K417</f>
        <v>560</v>
      </c>
      <c r="E238" s="23"/>
      <c r="F238" s="25">
        <v>41</v>
      </c>
      <c r="G238" s="26" t="str">
        <f>IF('Fee Receipt (Class-wise)'!C447="", "", 'Fee Receipt (Class-wise)'!C447)</f>
        <v/>
      </c>
      <c r="H238" s="25">
        <f>'Fee Receipt (Class-wise)'!K447</f>
        <v>710</v>
      </c>
      <c r="I238" s="23"/>
    </row>
    <row r="239" spans="1:9" ht="14.45" customHeight="1">
      <c r="A239" s="35"/>
      <c r="B239" s="25">
        <v>12</v>
      </c>
      <c r="C239" s="26" t="str">
        <f>IF('Fee Receipt (Class-wise)'!C418="", "", 'Fee Receipt (Class-wise)'!C418)</f>
        <v>KOSIPAH JOSHUA</v>
      </c>
      <c r="D239" s="25">
        <f>'Fee Receipt (Class-wise)'!K418</f>
        <v>310</v>
      </c>
      <c r="E239" s="23"/>
      <c r="F239" s="25">
        <v>42</v>
      </c>
      <c r="G239" s="26" t="str">
        <f>IF('Fee Receipt (Class-wise)'!C448="", "", 'Fee Receipt (Class-wise)'!C448)</f>
        <v/>
      </c>
      <c r="H239" s="25">
        <f>'Fee Receipt (Class-wise)'!K448</f>
        <v>710</v>
      </c>
      <c r="I239" s="23"/>
    </row>
    <row r="240" spans="1:9" ht="14.45" customHeight="1">
      <c r="A240" s="35"/>
      <c r="B240" s="25">
        <v>13</v>
      </c>
      <c r="C240" s="26" t="str">
        <f>IF('Fee Receipt (Class-wise)'!C419="", "", 'Fee Receipt (Class-wise)'!C419)</f>
        <v>KPOGO EZEKIEL</v>
      </c>
      <c r="D240" s="25">
        <f>'Fee Receipt (Class-wise)'!K419</f>
        <v>120</v>
      </c>
      <c r="E240" s="23"/>
      <c r="F240" s="25">
        <v>43</v>
      </c>
      <c r="G240" s="26" t="str">
        <f>IF('Fee Receipt (Class-wise)'!C449="", "", 'Fee Receipt (Class-wise)'!C449)</f>
        <v/>
      </c>
      <c r="H240" s="25">
        <f>'Fee Receipt (Class-wise)'!K449</f>
        <v>710</v>
      </c>
      <c r="I240" s="23"/>
    </row>
    <row r="241" spans="1:9" ht="14.45" customHeight="1">
      <c r="A241" s="35"/>
      <c r="B241" s="25">
        <v>14</v>
      </c>
      <c r="C241" s="26" t="str">
        <f>IF('Fee Receipt (Class-wise)'!C420="", "", 'Fee Receipt (Class-wise)'!C420)</f>
        <v>KUELIHO HARRIET</v>
      </c>
      <c r="D241" s="25">
        <f>'Fee Receipt (Class-wise)'!K420</f>
        <v>210</v>
      </c>
      <c r="E241" s="23"/>
      <c r="F241" s="25">
        <v>44</v>
      </c>
      <c r="G241" s="26" t="str">
        <f>IF('Fee Receipt (Class-wise)'!C450="", "", 'Fee Receipt (Class-wise)'!C450)</f>
        <v/>
      </c>
      <c r="H241" s="25">
        <f>'Fee Receipt (Class-wise)'!K450</f>
        <v>710</v>
      </c>
      <c r="I241" s="23"/>
    </row>
    <row r="242" spans="1:9" ht="14.45" customHeight="1">
      <c r="A242" s="35"/>
      <c r="B242" s="25">
        <v>15</v>
      </c>
      <c r="C242" s="26" t="str">
        <f>IF('Fee Receipt (Class-wise)'!C421="", "", 'Fee Receipt (Class-wise)'!C421)</f>
        <v>LAWEH MICAH</v>
      </c>
      <c r="D242" s="25">
        <f>'Fee Receipt (Class-wise)'!K421</f>
        <v>0</v>
      </c>
      <c r="E242" s="23"/>
      <c r="F242" s="25">
        <v>45</v>
      </c>
      <c r="G242" s="26" t="str">
        <f>IF('Fee Receipt (Class-wise)'!C451="", "", 'Fee Receipt (Class-wise)'!C451)</f>
        <v/>
      </c>
      <c r="H242" s="25">
        <f>'Fee Receipt (Class-wise)'!K451</f>
        <v>710</v>
      </c>
      <c r="I242" s="23"/>
    </row>
    <row r="243" spans="1:9" ht="14.45" customHeight="1">
      <c r="A243" s="35"/>
      <c r="B243" s="25">
        <v>16</v>
      </c>
      <c r="C243" s="26" t="str">
        <f>IF('Fee Receipt (Class-wise)'!C422="", "", 'Fee Receipt (Class-wise)'!C422)</f>
        <v>MAHAMUD MUBEIN</v>
      </c>
      <c r="D243" s="25">
        <f>'Fee Receipt (Class-wise)'!K422</f>
        <v>0</v>
      </c>
      <c r="E243" s="23"/>
      <c r="F243" s="25">
        <v>46</v>
      </c>
      <c r="G243" s="26" t="str">
        <f>IF('Fee Receipt (Class-wise)'!C452="", "", 'Fee Receipt (Class-wise)'!C452)</f>
        <v/>
      </c>
      <c r="H243" s="25">
        <f>'Fee Receipt (Class-wise)'!K452</f>
        <v>710</v>
      </c>
      <c r="I243" s="23"/>
    </row>
    <row r="244" spans="1:9" ht="14.45" customHeight="1">
      <c r="A244" s="35"/>
      <c r="B244" s="25">
        <v>17</v>
      </c>
      <c r="C244" s="26" t="str">
        <f>IF('Fee Receipt (Class-wise)'!C423="", "", 'Fee Receipt (Class-wise)'!C423)</f>
        <v>MUSAH AYISHA</v>
      </c>
      <c r="D244" s="25">
        <f>'Fee Receipt (Class-wise)'!K423</f>
        <v>710</v>
      </c>
      <c r="E244" s="23"/>
      <c r="F244" s="25">
        <v>47</v>
      </c>
      <c r="G244" s="26" t="str">
        <f>IF('Fee Receipt (Class-wise)'!C453="", "", 'Fee Receipt (Class-wise)'!C453)</f>
        <v/>
      </c>
      <c r="H244" s="25">
        <f>'Fee Receipt (Class-wise)'!K453</f>
        <v>710</v>
      </c>
      <c r="I244" s="23"/>
    </row>
    <row r="245" spans="1:9" ht="14.45" customHeight="1">
      <c r="A245" s="35"/>
      <c r="B245" s="25">
        <v>18</v>
      </c>
      <c r="C245" s="26" t="str">
        <f>IF('Fee Receipt (Class-wise)'!C424="", "", 'Fee Receipt (Class-wise)'!C424)</f>
        <v>MUSAH SEINI</v>
      </c>
      <c r="D245" s="25">
        <f>'Fee Receipt (Class-wise)'!K424</f>
        <v>710</v>
      </c>
      <c r="E245" s="23"/>
      <c r="F245" s="25">
        <v>48</v>
      </c>
      <c r="G245" s="26" t="str">
        <f>IF('Fee Receipt (Class-wise)'!C454="", "", 'Fee Receipt (Class-wise)'!C454)</f>
        <v/>
      </c>
      <c r="H245" s="25">
        <f>'Fee Receipt (Class-wise)'!K454</f>
        <v>710</v>
      </c>
      <c r="I245" s="23"/>
    </row>
    <row r="246" spans="1:9" ht="14.45" customHeight="1">
      <c r="A246" s="35"/>
      <c r="B246" s="25">
        <v>19</v>
      </c>
      <c r="C246" s="26" t="str">
        <f>IF('Fee Receipt (Class-wise)'!C425="", "", 'Fee Receipt (Class-wise)'!C425)</f>
        <v>NAZIRU HAJARA</v>
      </c>
      <c r="D246" s="25">
        <f>'Fee Receipt (Class-wise)'!K425</f>
        <v>400</v>
      </c>
      <c r="E246" s="23"/>
      <c r="F246" s="25">
        <v>49</v>
      </c>
      <c r="G246" s="26" t="str">
        <f>IF('Fee Receipt (Class-wise)'!C455="", "", 'Fee Receipt (Class-wise)'!C455)</f>
        <v/>
      </c>
      <c r="H246" s="25">
        <f>'Fee Receipt (Class-wise)'!K455</f>
        <v>710</v>
      </c>
      <c r="I246" s="23"/>
    </row>
    <row r="247" spans="1:9" ht="14.45" customHeight="1">
      <c r="A247" s="35"/>
      <c r="B247" s="25">
        <v>20</v>
      </c>
      <c r="C247" s="26" t="str">
        <f>IF('Fee Receipt (Class-wise)'!C426="", "", 'Fee Receipt (Class-wise)'!C426)</f>
        <v>NISSI-WILLS ELORM</v>
      </c>
      <c r="D247" s="25">
        <f>'Fee Receipt (Class-wise)'!K426</f>
        <v>410</v>
      </c>
      <c r="E247" s="23"/>
      <c r="F247" s="25">
        <v>50</v>
      </c>
      <c r="G247" s="26" t="str">
        <f>IF('Fee Receipt (Class-wise)'!C456="", "", 'Fee Receipt (Class-wise)'!C456)</f>
        <v/>
      </c>
      <c r="H247" s="25">
        <f>'Fee Receipt (Class-wise)'!K456</f>
        <v>710</v>
      </c>
      <c r="I247" s="23"/>
    </row>
    <row r="248" spans="1:9" ht="14.45" customHeight="1">
      <c r="A248" s="35"/>
      <c r="B248" s="25">
        <v>21</v>
      </c>
      <c r="C248" s="26" t="str">
        <f>IF('Fee Receipt (Class-wise)'!C427="", "", 'Fee Receipt (Class-wise)'!C427)</f>
        <v>NKRUMAH FRIMPONG THELMA</v>
      </c>
      <c r="D248" s="25">
        <f>'Fee Receipt (Class-wise)'!K427</f>
        <v>0</v>
      </c>
      <c r="E248" s="23"/>
      <c r="F248" s="25">
        <v>51</v>
      </c>
      <c r="G248" s="26" t="str">
        <f>IF('Fee Receipt (Class-wise)'!C457="", "", 'Fee Receipt (Class-wise)'!C457)</f>
        <v/>
      </c>
      <c r="H248" s="25">
        <f>'Fee Receipt (Class-wise)'!K457</f>
        <v>710</v>
      </c>
      <c r="I248" s="23"/>
    </row>
    <row r="249" spans="1:9" ht="14.45" customHeight="1">
      <c r="A249" s="35"/>
      <c r="B249" s="25">
        <v>22</v>
      </c>
      <c r="C249" s="26" t="str">
        <f>IF('Fee Receipt (Class-wise)'!C428="", "", 'Fee Receipt (Class-wise)'!C428)</f>
        <v>NOAMESI DELADEM</v>
      </c>
      <c r="D249" s="25">
        <f>'Fee Receipt (Class-wise)'!K428</f>
        <v>110</v>
      </c>
      <c r="E249" s="23"/>
      <c r="F249" s="25">
        <v>52</v>
      </c>
      <c r="G249" s="26" t="str">
        <f>IF('Fee Receipt (Class-wise)'!C458="", "", 'Fee Receipt (Class-wise)'!C458)</f>
        <v/>
      </c>
      <c r="H249" s="25">
        <f>'Fee Receipt (Class-wise)'!K458</f>
        <v>710</v>
      </c>
      <c r="I249" s="23"/>
    </row>
    <row r="250" spans="1:9" ht="14.45" customHeight="1">
      <c r="A250" s="35"/>
      <c r="B250" s="25">
        <v>23</v>
      </c>
      <c r="C250" s="26" t="str">
        <f>IF('Fee Receipt (Class-wise)'!C429="", "", 'Fee Receipt (Class-wise)'!C429)</f>
        <v>QUAQUE URIEL DELA</v>
      </c>
      <c r="D250" s="25">
        <f>'Fee Receipt (Class-wise)'!K429</f>
        <v>0</v>
      </c>
      <c r="E250" s="23"/>
      <c r="F250" s="25">
        <v>53</v>
      </c>
      <c r="G250" s="26" t="str">
        <f>IF('Fee Receipt (Class-wise)'!C459="", "", 'Fee Receipt (Class-wise)'!C459)</f>
        <v/>
      </c>
      <c r="H250" s="25">
        <f>'Fee Receipt (Class-wise)'!K459</f>
        <v>710</v>
      </c>
      <c r="I250" s="23"/>
    </row>
    <row r="251" spans="1:9" ht="14.45" customHeight="1">
      <c r="A251" s="35"/>
      <c r="B251" s="25">
        <v>24</v>
      </c>
      <c r="C251" s="26" t="str">
        <f>IF('Fee Receipt (Class-wise)'!C430="", "", 'Fee Receipt (Class-wise)'!C430)</f>
        <v>TETTEH NAA JOY</v>
      </c>
      <c r="D251" s="25">
        <f>'Fee Receipt (Class-wise)'!K430</f>
        <v>410</v>
      </c>
      <c r="E251" s="23"/>
      <c r="F251" s="25">
        <v>54</v>
      </c>
      <c r="G251" s="26" t="str">
        <f>IF('Fee Receipt (Class-wise)'!C460="", "", 'Fee Receipt (Class-wise)'!C460)</f>
        <v/>
      </c>
      <c r="H251" s="25">
        <f>'Fee Receipt (Class-wise)'!K460</f>
        <v>710</v>
      </c>
      <c r="I251" s="23"/>
    </row>
    <row r="252" spans="1:9" ht="14.45" customHeight="1">
      <c r="A252" s="35"/>
      <c r="B252" s="25">
        <v>25</v>
      </c>
      <c r="C252" s="26" t="str">
        <f>IF('Fee Receipt (Class-wise)'!C431="", "", 'Fee Receipt (Class-wise)'!C431)</f>
        <v>YEBOAH DOROTHY NTIAMOAH</v>
      </c>
      <c r="D252" s="25">
        <f>'Fee Receipt (Class-wise)'!K431</f>
        <v>400</v>
      </c>
      <c r="E252" s="23"/>
      <c r="F252" s="25">
        <v>55</v>
      </c>
      <c r="G252" s="26" t="str">
        <f>IF('Fee Receipt (Class-wise)'!C461="", "", 'Fee Receipt (Class-wise)'!C461)</f>
        <v/>
      </c>
      <c r="H252" s="25">
        <f>'Fee Receipt (Class-wise)'!K461</f>
        <v>710</v>
      </c>
      <c r="I252" s="23"/>
    </row>
    <row r="253" spans="1:9" ht="14.45" customHeight="1">
      <c r="A253" s="35"/>
      <c r="B253" s="25">
        <v>26</v>
      </c>
      <c r="C253" s="26" t="str">
        <f>IF('Fee Receipt (Class-wise)'!C432="", "", 'Fee Receipt (Class-wise)'!C432)</f>
        <v/>
      </c>
      <c r="D253" s="25">
        <f>'Fee Receipt (Class-wise)'!K432</f>
        <v>710</v>
      </c>
      <c r="E253" s="23"/>
      <c r="F253" s="25">
        <v>56</v>
      </c>
      <c r="G253" s="26" t="str">
        <f>IF('Fee Receipt (Class-wise)'!C462="", "", 'Fee Receipt (Class-wise)'!C462)</f>
        <v/>
      </c>
      <c r="H253" s="25">
        <f>'Fee Receipt (Class-wise)'!K462</f>
        <v>710</v>
      </c>
      <c r="I253" s="23"/>
    </row>
    <row r="254" spans="1:9" ht="14.45" customHeight="1">
      <c r="A254" s="35"/>
      <c r="B254" s="25">
        <v>27</v>
      </c>
      <c r="C254" s="26" t="str">
        <f>IF('Fee Receipt (Class-wise)'!C433="", "", 'Fee Receipt (Class-wise)'!C433)</f>
        <v/>
      </c>
      <c r="D254" s="25">
        <f>'Fee Receipt (Class-wise)'!K433</f>
        <v>710</v>
      </c>
      <c r="E254" s="23"/>
      <c r="F254" s="25">
        <v>57</v>
      </c>
      <c r="G254" s="26" t="str">
        <f>IF('Fee Receipt (Class-wise)'!C463="", "", 'Fee Receipt (Class-wise)'!C463)</f>
        <v/>
      </c>
      <c r="H254" s="25">
        <f>'Fee Receipt (Class-wise)'!K463</f>
        <v>710</v>
      </c>
      <c r="I254" s="23"/>
    </row>
    <row r="255" spans="1:9" ht="14.45" customHeight="1">
      <c r="A255" s="35"/>
      <c r="B255" s="25">
        <v>28</v>
      </c>
      <c r="C255" s="26" t="str">
        <f>IF('Fee Receipt (Class-wise)'!C434="", "", 'Fee Receipt (Class-wise)'!C434)</f>
        <v/>
      </c>
      <c r="D255" s="25">
        <f>'Fee Receipt (Class-wise)'!K434</f>
        <v>710</v>
      </c>
      <c r="E255" s="23"/>
      <c r="F255" s="25">
        <v>58</v>
      </c>
      <c r="G255" s="26" t="str">
        <f>IF('Fee Receipt (Class-wise)'!C464="", "", 'Fee Receipt (Class-wise)'!C464)</f>
        <v/>
      </c>
      <c r="H255" s="25">
        <f>'Fee Receipt (Class-wise)'!K464</f>
        <v>710</v>
      </c>
      <c r="I255" s="23"/>
    </row>
    <row r="256" spans="1:9" ht="14.45" customHeight="1">
      <c r="A256" s="35"/>
      <c r="B256" s="25">
        <v>29</v>
      </c>
      <c r="C256" s="26" t="str">
        <f>IF('Fee Receipt (Class-wise)'!C435="", "", 'Fee Receipt (Class-wise)'!C435)</f>
        <v/>
      </c>
      <c r="D256" s="25">
        <f>'Fee Receipt (Class-wise)'!K435</f>
        <v>710</v>
      </c>
      <c r="E256" s="23"/>
      <c r="F256" s="25">
        <v>59</v>
      </c>
      <c r="G256" s="26" t="str">
        <f>IF('Fee Receipt (Class-wise)'!C465="", "", 'Fee Receipt (Class-wise)'!C465)</f>
        <v/>
      </c>
      <c r="H256" s="25">
        <f>'Fee Receipt (Class-wise)'!K465</f>
        <v>710</v>
      </c>
      <c r="I256" s="23"/>
    </row>
    <row r="257" spans="1:9" ht="14.45" customHeight="1">
      <c r="A257" s="35"/>
      <c r="B257" s="25">
        <v>30</v>
      </c>
      <c r="C257" s="26" t="str">
        <f>IF('Fee Receipt (Class-wise)'!C436="", "", 'Fee Receipt (Class-wise)'!C436)</f>
        <v/>
      </c>
      <c r="D257" s="25">
        <f>'Fee Receipt (Class-wise)'!K436</f>
        <v>710</v>
      </c>
      <c r="E257" s="23"/>
      <c r="F257" s="25">
        <v>60</v>
      </c>
      <c r="G257" s="26" t="str">
        <f>IF('Fee Receipt (Class-wise)'!C466="", "", 'Fee Receipt (Class-wise)'!C466)</f>
        <v/>
      </c>
      <c r="H257" s="25">
        <f>'Fee Receipt (Class-wise)'!K466</f>
        <v>710</v>
      </c>
      <c r="I257" s="23"/>
    </row>
    <row r="258" spans="1:9" ht="14.45" customHeight="1">
      <c r="A258" s="35"/>
      <c r="B258" s="25"/>
      <c r="C258" s="23"/>
      <c r="D258" s="23"/>
      <c r="E258" s="23"/>
      <c r="F258" s="33" t="s">
        <v>31</v>
      </c>
      <c r="G258" s="33"/>
      <c r="H258" s="24">
        <f>SUM(D228:D257)+SUM(H228:H257)</f>
        <v>31470</v>
      </c>
      <c r="I258" s="23"/>
    </row>
    <row r="259" spans="1:9" ht="14.45" customHeight="1">
      <c r="B259" s="23"/>
      <c r="C259" s="23"/>
      <c r="D259" s="23"/>
      <c r="E259" s="23"/>
      <c r="F259" s="23"/>
      <c r="G259" s="23"/>
      <c r="H259" s="23"/>
      <c r="I259" s="23"/>
    </row>
    <row r="260" spans="1:9" ht="14.45" customHeight="1">
      <c r="B260" s="23"/>
      <c r="C260" s="23"/>
      <c r="D260" s="23"/>
      <c r="E260" s="23"/>
      <c r="F260" s="23"/>
      <c r="G260" s="23"/>
      <c r="H260" s="23"/>
      <c r="I260" s="23"/>
    </row>
    <row r="261" spans="1:9" ht="14.45" customHeight="1">
      <c r="A261" s="49">
        <v>8</v>
      </c>
      <c r="B261" s="35" t="s">
        <v>33</v>
      </c>
      <c r="C261" s="35"/>
      <c r="D261" s="35"/>
      <c r="E261" s="35"/>
      <c r="F261" s="35"/>
      <c r="G261" s="35"/>
      <c r="H261" s="24" t="s">
        <v>36</v>
      </c>
      <c r="I261" s="23"/>
    </row>
    <row r="262" spans="1:9" ht="14.45" customHeight="1">
      <c r="A262" s="49"/>
      <c r="B262" s="23" t="s">
        <v>35</v>
      </c>
      <c r="C262" s="50" t="str">
        <f>IF('Fee Receipt (Class-wise)'!C471="", "", 'Fee Receipt (Class-wise)'!C471)</f>
        <v>BASIC 2A</v>
      </c>
      <c r="D262" s="50"/>
      <c r="E262" s="23"/>
      <c r="F262" s="23"/>
      <c r="G262" s="23"/>
      <c r="H262" s="49">
        <f>IF(C262="", "", H295)</f>
        <v>32120</v>
      </c>
      <c r="I262" s="23"/>
    </row>
    <row r="263" spans="1:9" ht="14.45" customHeight="1">
      <c r="A263" s="49"/>
      <c r="B263" s="23" t="s">
        <v>34</v>
      </c>
      <c r="C263" s="50" t="str">
        <f>IF(C262="", "", 'Fee Receipt (Class-wise)'!$H$2)</f>
        <v>2025-26</v>
      </c>
      <c r="D263" s="50"/>
      <c r="E263" s="23"/>
      <c r="F263" s="23"/>
      <c r="G263" s="23"/>
      <c r="H263" s="49"/>
      <c r="I263" s="23"/>
    </row>
    <row r="264" spans="1:9" ht="14.45" customHeight="1">
      <c r="A264" s="35"/>
      <c r="B264" s="25" t="s">
        <v>1</v>
      </c>
      <c r="C264" s="25" t="s">
        <v>2</v>
      </c>
      <c r="D264" s="25" t="s">
        <v>9</v>
      </c>
      <c r="E264" s="23"/>
      <c r="F264" s="25" t="s">
        <v>1</v>
      </c>
      <c r="G264" s="25" t="s">
        <v>2</v>
      </c>
      <c r="H264" s="25" t="s">
        <v>9</v>
      </c>
      <c r="I264" s="23"/>
    </row>
    <row r="265" spans="1:9" ht="14.45" customHeight="1">
      <c r="A265" s="35"/>
      <c r="B265" s="25">
        <v>1</v>
      </c>
      <c r="C265" s="26" t="str">
        <f>IF('Fee Receipt (Class-wise)'!C474="", "", 'Fee Receipt (Class-wise)'!C474)</f>
        <v>AFRAM FRANCISCA</v>
      </c>
      <c r="D265" s="25">
        <f>'Fee Receipt (Class-wise)'!K474</f>
        <v>270</v>
      </c>
      <c r="E265" s="23"/>
      <c r="F265" s="25">
        <v>31</v>
      </c>
      <c r="G265" s="26" t="str">
        <f>IF('Fee Receipt (Class-wise)'!C504="", "", 'Fee Receipt (Class-wise)'!C504)</f>
        <v/>
      </c>
      <c r="H265" s="25">
        <f>'Fee Receipt (Class-wise)'!K504</f>
        <v>710</v>
      </c>
      <c r="I265" s="23"/>
    </row>
    <row r="266" spans="1:9" ht="14.45" customHeight="1">
      <c r="A266" s="35"/>
      <c r="B266" s="25">
        <v>2</v>
      </c>
      <c r="C266" s="26" t="str">
        <f>IF('Fee Receipt (Class-wise)'!C475="", "", 'Fee Receipt (Class-wise)'!C475)</f>
        <v>AHOR JOY</v>
      </c>
      <c r="D266" s="25">
        <f>'Fee Receipt (Class-wise)'!K475</f>
        <v>110</v>
      </c>
      <c r="E266" s="23"/>
      <c r="F266" s="25">
        <v>32</v>
      </c>
      <c r="G266" s="26" t="str">
        <f>IF('Fee Receipt (Class-wise)'!C505="", "", 'Fee Receipt (Class-wise)'!C505)</f>
        <v/>
      </c>
      <c r="H266" s="25">
        <f>'Fee Receipt (Class-wise)'!K505</f>
        <v>710</v>
      </c>
      <c r="I266" s="23"/>
    </row>
    <row r="267" spans="1:9" ht="14.45" customHeight="1">
      <c r="A267" s="35"/>
      <c r="B267" s="25">
        <v>3</v>
      </c>
      <c r="C267" s="26" t="str">
        <f>IF('Fee Receipt (Class-wise)'!C476="", "", 'Fee Receipt (Class-wise)'!C476)</f>
        <v>AKUAMOAH RANSFORD</v>
      </c>
      <c r="D267" s="25">
        <f>'Fee Receipt (Class-wise)'!K476</f>
        <v>410</v>
      </c>
      <c r="E267" s="23"/>
      <c r="F267" s="25">
        <v>33</v>
      </c>
      <c r="G267" s="26" t="str">
        <f>IF('Fee Receipt (Class-wise)'!C506="", "", 'Fee Receipt (Class-wise)'!C506)</f>
        <v/>
      </c>
      <c r="H267" s="25">
        <f>'Fee Receipt (Class-wise)'!K506</f>
        <v>710</v>
      </c>
      <c r="I267" s="23"/>
    </row>
    <row r="268" spans="1:9" ht="14.45" customHeight="1">
      <c r="A268" s="35"/>
      <c r="B268" s="25">
        <v>4</v>
      </c>
      <c r="C268" s="26" t="str">
        <f>IF('Fee Receipt (Class-wise)'!C477="", "", 'Fee Receipt (Class-wise)'!C477)</f>
        <v>AMETORGO SELASI TIMOTHY</v>
      </c>
      <c r="D268" s="25">
        <f>'Fee Receipt (Class-wise)'!K477</f>
        <v>110</v>
      </c>
      <c r="E268" s="23"/>
      <c r="F268" s="25">
        <v>34</v>
      </c>
      <c r="G268" s="26" t="str">
        <f>IF('Fee Receipt (Class-wise)'!C507="", "", 'Fee Receipt (Class-wise)'!C507)</f>
        <v/>
      </c>
      <c r="H268" s="25">
        <f>'Fee Receipt (Class-wise)'!K507</f>
        <v>710</v>
      </c>
      <c r="I268" s="23"/>
    </row>
    <row r="269" spans="1:9" ht="14.45" customHeight="1">
      <c r="A269" s="35"/>
      <c r="B269" s="25">
        <v>5</v>
      </c>
      <c r="C269" s="26" t="str">
        <f>IF('Fee Receipt (Class-wise)'!C478="", "", 'Fee Receipt (Class-wise)'!C478)</f>
        <v>AMPONSAH KWAKU JEREMIAH</v>
      </c>
      <c r="D269" s="25">
        <f>'Fee Receipt (Class-wise)'!K478</f>
        <v>210</v>
      </c>
      <c r="E269" s="23"/>
      <c r="F269" s="25">
        <v>35</v>
      </c>
      <c r="G269" s="26" t="str">
        <f>IF('Fee Receipt (Class-wise)'!C508="", "", 'Fee Receipt (Class-wise)'!C508)</f>
        <v/>
      </c>
      <c r="H269" s="25">
        <f>'Fee Receipt (Class-wise)'!K508</f>
        <v>710</v>
      </c>
      <c r="I269" s="23"/>
    </row>
    <row r="270" spans="1:9" ht="14.45" customHeight="1">
      <c r="A270" s="35"/>
      <c r="B270" s="25">
        <v>6</v>
      </c>
      <c r="C270" s="26" t="str">
        <f>IF('Fee Receipt (Class-wise)'!C479="", "", 'Fee Receipt (Class-wise)'!C479)</f>
        <v>ANDERSON  EUGENIA</v>
      </c>
      <c r="D270" s="25">
        <f>'Fee Receipt (Class-wise)'!K479</f>
        <v>710</v>
      </c>
      <c r="E270" s="23"/>
      <c r="F270" s="25">
        <v>36</v>
      </c>
      <c r="G270" s="26" t="str">
        <f>IF('Fee Receipt (Class-wise)'!C509="", "", 'Fee Receipt (Class-wise)'!C509)</f>
        <v/>
      </c>
      <c r="H270" s="25">
        <f>'Fee Receipt (Class-wise)'!K509</f>
        <v>710</v>
      </c>
      <c r="I270" s="23"/>
    </row>
    <row r="271" spans="1:9" ht="14.45" customHeight="1">
      <c r="A271" s="35"/>
      <c r="B271" s="25">
        <v>7</v>
      </c>
      <c r="C271" s="26" t="str">
        <f>IF('Fee Receipt (Class-wise)'!C480="", "", 'Fee Receipt (Class-wise)'!C480)</f>
        <v>ARTHUR OBED</v>
      </c>
      <c r="D271" s="25">
        <f>'Fee Receipt (Class-wise)'!K480</f>
        <v>210</v>
      </c>
      <c r="E271" s="23"/>
      <c r="F271" s="25">
        <v>37</v>
      </c>
      <c r="G271" s="26" t="str">
        <f>IF('Fee Receipt (Class-wise)'!C510="", "", 'Fee Receipt (Class-wise)'!C510)</f>
        <v/>
      </c>
      <c r="H271" s="25">
        <f>'Fee Receipt (Class-wise)'!K510</f>
        <v>710</v>
      </c>
      <c r="I271" s="23"/>
    </row>
    <row r="272" spans="1:9" ht="14.45" customHeight="1">
      <c r="A272" s="35"/>
      <c r="B272" s="25">
        <v>8</v>
      </c>
      <c r="C272" s="26" t="str">
        <f>IF('Fee Receipt (Class-wise)'!C481="", "", 'Fee Receipt (Class-wise)'!C481)</f>
        <v>ASAMOAH KELVIN</v>
      </c>
      <c r="D272" s="25">
        <f>'Fee Receipt (Class-wise)'!K481</f>
        <v>110</v>
      </c>
      <c r="E272" s="23"/>
      <c r="F272" s="25">
        <v>38</v>
      </c>
      <c r="G272" s="26" t="str">
        <f>IF('Fee Receipt (Class-wise)'!C511="", "", 'Fee Receipt (Class-wise)'!C511)</f>
        <v/>
      </c>
      <c r="H272" s="25">
        <f>'Fee Receipt (Class-wise)'!K511</f>
        <v>710</v>
      </c>
      <c r="I272" s="23"/>
    </row>
    <row r="273" spans="1:9" ht="14.45" customHeight="1">
      <c r="A273" s="35"/>
      <c r="B273" s="25">
        <v>9</v>
      </c>
      <c r="C273" s="26" t="str">
        <f>IF('Fee Receipt (Class-wise)'!C482="", "", 'Fee Receipt (Class-wise)'!C482)</f>
        <v>ATTIOGBE DELADEM</v>
      </c>
      <c r="D273" s="25">
        <f>'Fee Receipt (Class-wise)'!K482</f>
        <v>400</v>
      </c>
      <c r="E273" s="23"/>
      <c r="F273" s="25">
        <v>39</v>
      </c>
      <c r="G273" s="26" t="str">
        <f>IF('Fee Receipt (Class-wise)'!C512="", "", 'Fee Receipt (Class-wise)'!C512)</f>
        <v/>
      </c>
      <c r="H273" s="25">
        <f>'Fee Receipt (Class-wise)'!K512</f>
        <v>710</v>
      </c>
      <c r="I273" s="23"/>
    </row>
    <row r="274" spans="1:9" ht="14.45" customHeight="1">
      <c r="A274" s="35"/>
      <c r="B274" s="25">
        <v>10</v>
      </c>
      <c r="C274" s="26" t="str">
        <f>IF('Fee Receipt (Class-wise)'!C483="", "", 'Fee Receipt (Class-wise)'!C483)</f>
        <v>AYILGIA MARY</v>
      </c>
      <c r="D274" s="25">
        <f>'Fee Receipt (Class-wise)'!K483</f>
        <v>0</v>
      </c>
      <c r="E274" s="23"/>
      <c r="F274" s="25">
        <v>40</v>
      </c>
      <c r="G274" s="26" t="str">
        <f>IF('Fee Receipt (Class-wise)'!C513="", "", 'Fee Receipt (Class-wise)'!C513)</f>
        <v/>
      </c>
      <c r="H274" s="25">
        <f>'Fee Receipt (Class-wise)'!K513</f>
        <v>710</v>
      </c>
      <c r="I274" s="23"/>
    </row>
    <row r="275" spans="1:9" ht="14.45" customHeight="1">
      <c r="A275" s="35"/>
      <c r="B275" s="25">
        <v>11</v>
      </c>
      <c r="C275" s="26" t="str">
        <f>IF('Fee Receipt (Class-wise)'!C484="", "", 'Fee Receipt (Class-wise)'!C484)</f>
        <v>AZAMETI JOSHUA</v>
      </c>
      <c r="D275" s="25">
        <f>'Fee Receipt (Class-wise)'!K484</f>
        <v>500</v>
      </c>
      <c r="E275" s="23"/>
      <c r="F275" s="25">
        <v>41</v>
      </c>
      <c r="G275" s="26" t="str">
        <f>IF('Fee Receipt (Class-wise)'!C514="", "", 'Fee Receipt (Class-wise)'!C514)</f>
        <v/>
      </c>
      <c r="H275" s="25">
        <f>'Fee Receipt (Class-wise)'!K514</f>
        <v>710</v>
      </c>
      <c r="I275" s="23"/>
    </row>
    <row r="276" spans="1:9" ht="14.45" customHeight="1">
      <c r="A276" s="35"/>
      <c r="B276" s="25">
        <v>12</v>
      </c>
      <c r="C276" s="26" t="str">
        <f>IF('Fee Receipt (Class-wise)'!C485="", "", 'Fee Receipt (Class-wise)'!C485)</f>
        <v>BELLO PHILIP</v>
      </c>
      <c r="D276" s="25">
        <f>'Fee Receipt (Class-wise)'!K485</f>
        <v>710</v>
      </c>
      <c r="E276" s="23"/>
      <c r="F276" s="25">
        <v>42</v>
      </c>
      <c r="G276" s="26" t="str">
        <f>IF('Fee Receipt (Class-wise)'!C515="", "", 'Fee Receipt (Class-wise)'!C515)</f>
        <v/>
      </c>
      <c r="H276" s="25">
        <f>'Fee Receipt (Class-wise)'!K515</f>
        <v>710</v>
      </c>
      <c r="I276" s="23"/>
    </row>
    <row r="277" spans="1:9" ht="14.45" customHeight="1">
      <c r="A277" s="35"/>
      <c r="B277" s="25">
        <v>13</v>
      </c>
      <c r="C277" s="26" t="str">
        <f>IF('Fee Receipt (Class-wise)'!C486="", "", 'Fee Receipt (Class-wise)'!C486)</f>
        <v>DARBY CHRISTOPHER</v>
      </c>
      <c r="D277" s="25">
        <f>'Fee Receipt (Class-wise)'!K486</f>
        <v>600</v>
      </c>
      <c r="E277" s="23"/>
      <c r="F277" s="25">
        <v>43</v>
      </c>
      <c r="G277" s="26" t="str">
        <f>IF('Fee Receipt (Class-wise)'!C516="", "", 'Fee Receipt (Class-wise)'!C516)</f>
        <v/>
      </c>
      <c r="H277" s="25">
        <f>'Fee Receipt (Class-wise)'!K516</f>
        <v>710</v>
      </c>
      <c r="I277" s="23"/>
    </row>
    <row r="278" spans="1:9" ht="14.45" customHeight="1">
      <c r="A278" s="35"/>
      <c r="B278" s="25">
        <v>14</v>
      </c>
      <c r="C278" s="26" t="str">
        <f>IF('Fee Receipt (Class-wise)'!C487="", "", 'Fee Receipt (Class-wise)'!C487)</f>
        <v>DONKOH PHYLIBERT</v>
      </c>
      <c r="D278" s="25">
        <f>'Fee Receipt (Class-wise)'!K487</f>
        <v>210</v>
      </c>
      <c r="E278" s="23"/>
      <c r="F278" s="25">
        <v>44</v>
      </c>
      <c r="G278" s="26" t="str">
        <f>IF('Fee Receipt (Class-wise)'!C517="", "", 'Fee Receipt (Class-wise)'!C517)</f>
        <v/>
      </c>
      <c r="H278" s="25">
        <f>'Fee Receipt (Class-wise)'!K517</f>
        <v>710</v>
      </c>
      <c r="I278" s="23"/>
    </row>
    <row r="279" spans="1:9" ht="14.45" customHeight="1">
      <c r="A279" s="35"/>
      <c r="B279" s="25">
        <v>15</v>
      </c>
      <c r="C279" s="26" t="str">
        <f>IF('Fee Receipt (Class-wise)'!C488="", "", 'Fee Receipt (Class-wise)'!C488)</f>
        <v>DZINADO WISDOM</v>
      </c>
      <c r="D279" s="25">
        <f>'Fee Receipt (Class-wise)'!K488</f>
        <v>210</v>
      </c>
      <c r="E279" s="23"/>
      <c r="F279" s="25">
        <v>45</v>
      </c>
      <c r="G279" s="26" t="str">
        <f>IF('Fee Receipt (Class-wise)'!C518="", "", 'Fee Receipt (Class-wise)'!C518)</f>
        <v/>
      </c>
      <c r="H279" s="25">
        <f>'Fee Receipt (Class-wise)'!K518</f>
        <v>710</v>
      </c>
      <c r="I279" s="23"/>
    </row>
    <row r="280" spans="1:9" ht="14.45" customHeight="1">
      <c r="A280" s="35"/>
      <c r="B280" s="25">
        <v>16</v>
      </c>
      <c r="C280" s="26" t="str">
        <f>IF('Fee Receipt (Class-wise)'!C489="", "", 'Fee Receipt (Class-wise)'!C489)</f>
        <v>FIADZORMOR WINICENT</v>
      </c>
      <c r="D280" s="25">
        <f>'Fee Receipt (Class-wise)'!K489</f>
        <v>710</v>
      </c>
      <c r="E280" s="23"/>
      <c r="F280" s="25">
        <v>46</v>
      </c>
      <c r="G280" s="26" t="str">
        <f>IF('Fee Receipt (Class-wise)'!C519="", "", 'Fee Receipt (Class-wise)'!C519)</f>
        <v/>
      </c>
      <c r="H280" s="25">
        <f>'Fee Receipt (Class-wise)'!K519</f>
        <v>710</v>
      </c>
      <c r="I280" s="23"/>
    </row>
    <row r="281" spans="1:9" ht="14.45" customHeight="1">
      <c r="A281" s="35"/>
      <c r="B281" s="25">
        <v>17</v>
      </c>
      <c r="C281" s="26" t="str">
        <f>IF('Fee Receipt (Class-wise)'!C490="", "", 'Fee Receipt (Class-wise)'!C490)</f>
        <v>MENSAH SHALOM</v>
      </c>
      <c r="D281" s="25">
        <f>'Fee Receipt (Class-wise)'!K490</f>
        <v>710</v>
      </c>
      <c r="E281" s="23"/>
      <c r="F281" s="25">
        <v>47</v>
      </c>
      <c r="G281" s="26" t="str">
        <f>IF('Fee Receipt (Class-wise)'!C520="", "", 'Fee Receipt (Class-wise)'!C520)</f>
        <v/>
      </c>
      <c r="H281" s="25">
        <f>'Fee Receipt (Class-wise)'!K520</f>
        <v>710</v>
      </c>
      <c r="I281" s="23"/>
    </row>
    <row r="282" spans="1:9" ht="14.45" customHeight="1">
      <c r="A282" s="35"/>
      <c r="B282" s="25">
        <v>18</v>
      </c>
      <c r="C282" s="26" t="str">
        <f>IF('Fee Receipt (Class-wise)'!C491="", "", 'Fee Receipt (Class-wise)'!C491)</f>
        <v>ADJEI OFORI YAWUHCEPH</v>
      </c>
      <c r="D282" s="25">
        <f>'Fee Receipt (Class-wise)'!K491</f>
        <v>0</v>
      </c>
      <c r="E282" s="23"/>
      <c r="F282" s="25">
        <v>48</v>
      </c>
      <c r="G282" s="26" t="str">
        <f>IF('Fee Receipt (Class-wise)'!C521="", "", 'Fee Receipt (Class-wise)'!C521)</f>
        <v/>
      </c>
      <c r="H282" s="25">
        <f>'Fee Receipt (Class-wise)'!K521</f>
        <v>710</v>
      </c>
      <c r="I282" s="23"/>
    </row>
    <row r="283" spans="1:9" ht="14.45" customHeight="1">
      <c r="A283" s="35"/>
      <c r="B283" s="25">
        <v>19</v>
      </c>
      <c r="C283" s="26" t="str">
        <f>IF('Fee Receipt (Class-wise)'!C492="", "", 'Fee Receipt (Class-wise)'!C492)</f>
        <v>MOHAMMED SALAMATU</v>
      </c>
      <c r="D283" s="25">
        <f>'Fee Receipt (Class-wise)'!K492</f>
        <v>340</v>
      </c>
      <c r="E283" s="23"/>
      <c r="F283" s="25">
        <v>49</v>
      </c>
      <c r="G283" s="26" t="str">
        <f>IF('Fee Receipt (Class-wise)'!C522="", "", 'Fee Receipt (Class-wise)'!C522)</f>
        <v/>
      </c>
      <c r="H283" s="25">
        <f>'Fee Receipt (Class-wise)'!K522</f>
        <v>710</v>
      </c>
      <c r="I283" s="23"/>
    </row>
    <row r="284" spans="1:9" ht="14.45" customHeight="1">
      <c r="A284" s="35"/>
      <c r="B284" s="25">
        <v>20</v>
      </c>
      <c r="C284" s="26" t="str">
        <f>IF('Fee Receipt (Class-wise)'!C493="", "", 'Fee Receipt (Class-wise)'!C493)</f>
        <v>OFOSU HENE NATHANIEL</v>
      </c>
      <c r="D284" s="25">
        <f>'Fee Receipt (Class-wise)'!K493</f>
        <v>310</v>
      </c>
      <c r="E284" s="23"/>
      <c r="F284" s="25">
        <v>50</v>
      </c>
      <c r="G284" s="26" t="str">
        <f>IF('Fee Receipt (Class-wise)'!C523="", "", 'Fee Receipt (Class-wise)'!C523)</f>
        <v/>
      </c>
      <c r="H284" s="25">
        <f>'Fee Receipt (Class-wise)'!K523</f>
        <v>710</v>
      </c>
      <c r="I284" s="23"/>
    </row>
    <row r="285" spans="1:9" ht="14.45" customHeight="1">
      <c r="A285" s="35"/>
      <c r="B285" s="25">
        <v>21</v>
      </c>
      <c r="C285" s="26" t="str">
        <f>IF('Fee Receipt (Class-wise)'!C494="", "", 'Fee Receipt (Class-wise)'!C494)</f>
        <v>SADIQ ABDUL-HAKIM</v>
      </c>
      <c r="D285" s="25">
        <f>'Fee Receipt (Class-wise)'!K494</f>
        <v>210</v>
      </c>
      <c r="E285" s="23"/>
      <c r="F285" s="25">
        <v>51</v>
      </c>
      <c r="G285" s="26" t="str">
        <f>IF('Fee Receipt (Class-wise)'!C524="", "", 'Fee Receipt (Class-wise)'!C524)</f>
        <v/>
      </c>
      <c r="H285" s="25">
        <f>'Fee Receipt (Class-wise)'!K524</f>
        <v>710</v>
      </c>
      <c r="I285" s="23"/>
    </row>
    <row r="286" spans="1:9" ht="14.45" customHeight="1">
      <c r="A286" s="35"/>
      <c r="B286" s="25">
        <v>22</v>
      </c>
      <c r="C286" s="26" t="str">
        <f>IF('Fee Receipt (Class-wise)'!C495="", "", 'Fee Receipt (Class-wise)'!C495)</f>
        <v>SARFO-JONES APOSTLE</v>
      </c>
      <c r="D286" s="25">
        <f>'Fee Receipt (Class-wise)'!K495</f>
        <v>310</v>
      </c>
      <c r="E286" s="23"/>
      <c r="F286" s="25">
        <v>52</v>
      </c>
      <c r="G286" s="26" t="str">
        <f>IF('Fee Receipt (Class-wise)'!C525="", "", 'Fee Receipt (Class-wise)'!C525)</f>
        <v/>
      </c>
      <c r="H286" s="25">
        <f>'Fee Receipt (Class-wise)'!K525</f>
        <v>710</v>
      </c>
      <c r="I286" s="23"/>
    </row>
    <row r="287" spans="1:9" ht="14.45" customHeight="1">
      <c r="A287" s="35"/>
      <c r="B287" s="25">
        <v>23</v>
      </c>
      <c r="C287" s="26" t="str">
        <f>IF('Fee Receipt (Class-wise)'!C496="", "", 'Fee Receipt (Class-wise)'!C496)</f>
        <v>TAYLOR ELVIS</v>
      </c>
      <c r="D287" s="25">
        <f>'Fee Receipt (Class-wise)'!K496</f>
        <v>210</v>
      </c>
      <c r="E287" s="23"/>
      <c r="F287" s="25">
        <v>53</v>
      </c>
      <c r="G287" s="26" t="str">
        <f>IF('Fee Receipt (Class-wise)'!C526="", "", 'Fee Receipt (Class-wise)'!C526)</f>
        <v/>
      </c>
      <c r="H287" s="25">
        <f>'Fee Receipt (Class-wise)'!K526</f>
        <v>710</v>
      </c>
      <c r="I287" s="23"/>
    </row>
    <row r="288" spans="1:9" ht="14.45" customHeight="1">
      <c r="A288" s="35"/>
      <c r="B288" s="25">
        <v>24</v>
      </c>
      <c r="C288" s="26" t="str">
        <f>IF('Fee Receipt (Class-wise)'!C497="", "", 'Fee Receipt (Class-wise)'!C497)</f>
        <v>TETTEH DRAH JOSHUA</v>
      </c>
      <c r="D288" s="25">
        <f>'Fee Receipt (Class-wise)'!K497</f>
        <v>410</v>
      </c>
      <c r="E288" s="23"/>
      <c r="F288" s="25">
        <v>54</v>
      </c>
      <c r="G288" s="26" t="str">
        <f>IF('Fee Receipt (Class-wise)'!C527="", "", 'Fee Receipt (Class-wise)'!C527)</f>
        <v/>
      </c>
      <c r="H288" s="25">
        <f>'Fee Receipt (Class-wise)'!K527</f>
        <v>710</v>
      </c>
      <c r="I288" s="23"/>
    </row>
    <row r="289" spans="1:9" ht="14.45" customHeight="1">
      <c r="A289" s="35"/>
      <c r="B289" s="25">
        <v>25</v>
      </c>
      <c r="C289" s="26" t="str">
        <f>IF('Fee Receipt (Class-wise)'!C498="", "", 'Fee Receipt (Class-wise)'!C498)</f>
        <v>WIAFI ANGELA</v>
      </c>
      <c r="D289" s="25">
        <f>'Fee Receipt (Class-wise)'!K498</f>
        <v>310</v>
      </c>
      <c r="E289" s="23"/>
      <c r="F289" s="25">
        <v>55</v>
      </c>
      <c r="G289" s="26" t="str">
        <f>IF('Fee Receipt (Class-wise)'!C528="", "", 'Fee Receipt (Class-wise)'!C528)</f>
        <v/>
      </c>
      <c r="H289" s="25">
        <f>'Fee Receipt (Class-wise)'!K528</f>
        <v>710</v>
      </c>
      <c r="I289" s="23"/>
    </row>
    <row r="290" spans="1:9" ht="14.45" customHeight="1">
      <c r="A290" s="35"/>
      <c r="B290" s="25">
        <v>26</v>
      </c>
      <c r="C290" s="26" t="str">
        <f>IF('Fee Receipt (Class-wise)'!C499="", "", 'Fee Receipt (Class-wise)'!C499)</f>
        <v>WORMENOR VICTORIA</v>
      </c>
      <c r="D290" s="25">
        <f>'Fee Receipt (Class-wise)'!K499</f>
        <v>0</v>
      </c>
      <c r="E290" s="23"/>
      <c r="F290" s="25">
        <v>56</v>
      </c>
      <c r="G290" s="26" t="str">
        <f>IF('Fee Receipt (Class-wise)'!C529="", "", 'Fee Receipt (Class-wise)'!C529)</f>
        <v/>
      </c>
      <c r="H290" s="25">
        <f>'Fee Receipt (Class-wise)'!K529</f>
        <v>710</v>
      </c>
      <c r="I290" s="23"/>
    </row>
    <row r="291" spans="1:9" ht="14.45" customHeight="1">
      <c r="A291" s="35"/>
      <c r="B291" s="25">
        <v>27</v>
      </c>
      <c r="C291" s="26" t="str">
        <f>IF('Fee Receipt (Class-wise)'!C500="", "", 'Fee Receipt (Class-wise)'!C500)</f>
        <v>YEBOAH AMPONSAH KWASI</v>
      </c>
      <c r="D291" s="25">
        <f>'Fee Receipt (Class-wise)'!K500</f>
        <v>400</v>
      </c>
      <c r="E291" s="23"/>
      <c r="F291" s="25">
        <v>57</v>
      </c>
      <c r="G291" s="26" t="str">
        <f>IF('Fee Receipt (Class-wise)'!C530="", "", 'Fee Receipt (Class-wise)'!C530)</f>
        <v/>
      </c>
      <c r="H291" s="25">
        <f>'Fee Receipt (Class-wise)'!K530</f>
        <v>710</v>
      </c>
      <c r="I291" s="23"/>
    </row>
    <row r="292" spans="1:9" ht="14.45" customHeight="1">
      <c r="A292" s="35"/>
      <c r="B292" s="25">
        <v>28</v>
      </c>
      <c r="C292" s="26" t="str">
        <f>IF('Fee Receipt (Class-wise)'!C501="", "", 'Fee Receipt (Class-wise)'!C501)</f>
        <v/>
      </c>
      <c r="D292" s="25">
        <f>'Fee Receipt (Class-wise)'!K501</f>
        <v>710</v>
      </c>
      <c r="E292" s="23"/>
      <c r="F292" s="25">
        <v>58</v>
      </c>
      <c r="G292" s="26" t="str">
        <f>IF('Fee Receipt (Class-wise)'!C531="", "", 'Fee Receipt (Class-wise)'!C531)</f>
        <v/>
      </c>
      <c r="H292" s="25">
        <f>'Fee Receipt (Class-wise)'!K531</f>
        <v>710</v>
      </c>
      <c r="I292" s="23"/>
    </row>
    <row r="293" spans="1:9" ht="14.45" customHeight="1">
      <c r="A293" s="35"/>
      <c r="B293" s="25">
        <v>29</v>
      </c>
      <c r="C293" s="26" t="str">
        <f>IF('Fee Receipt (Class-wise)'!C502="", "", 'Fee Receipt (Class-wise)'!C502)</f>
        <v/>
      </c>
      <c r="D293" s="25">
        <f>'Fee Receipt (Class-wise)'!K502</f>
        <v>710</v>
      </c>
      <c r="E293" s="23"/>
      <c r="F293" s="25">
        <v>59</v>
      </c>
      <c r="G293" s="26" t="str">
        <f>IF('Fee Receipt (Class-wise)'!C532="", "", 'Fee Receipt (Class-wise)'!C532)</f>
        <v/>
      </c>
      <c r="H293" s="25">
        <f>'Fee Receipt (Class-wise)'!K532</f>
        <v>710</v>
      </c>
      <c r="I293" s="23"/>
    </row>
    <row r="294" spans="1:9" ht="14.45" customHeight="1">
      <c r="A294" s="35"/>
      <c r="B294" s="25">
        <v>30</v>
      </c>
      <c r="C294" s="26" t="str">
        <f>IF('Fee Receipt (Class-wise)'!C503="", "", 'Fee Receipt (Class-wise)'!C503)</f>
        <v/>
      </c>
      <c r="D294" s="25">
        <f>'Fee Receipt (Class-wise)'!K503</f>
        <v>710</v>
      </c>
      <c r="E294" s="23"/>
      <c r="F294" s="25">
        <v>60</v>
      </c>
      <c r="G294" s="26" t="str">
        <f>IF('Fee Receipt (Class-wise)'!C533="", "", 'Fee Receipt (Class-wise)'!C533)</f>
        <v/>
      </c>
      <c r="H294" s="25">
        <f>'Fee Receipt (Class-wise)'!K533</f>
        <v>710</v>
      </c>
      <c r="I294" s="23"/>
    </row>
    <row r="295" spans="1:9" ht="14.45" customHeight="1">
      <c r="A295" s="35"/>
      <c r="B295" s="25"/>
      <c r="C295" s="23"/>
      <c r="D295" s="23"/>
      <c r="E295" s="23"/>
      <c r="F295" s="33" t="s">
        <v>31</v>
      </c>
      <c r="G295" s="33"/>
      <c r="H295" s="24">
        <f>SUM(D265:D294)+SUM(H265:H294)</f>
        <v>32120</v>
      </c>
      <c r="I295" s="23"/>
    </row>
    <row r="296" spans="1:9" ht="14.45" customHeight="1">
      <c r="B296" s="23"/>
      <c r="C296" s="23"/>
      <c r="D296" s="23"/>
      <c r="E296" s="23"/>
      <c r="F296" s="23"/>
      <c r="G296" s="23"/>
      <c r="H296" s="23"/>
      <c r="I296" s="23"/>
    </row>
    <row r="297" spans="1:9" ht="14.45" customHeight="1">
      <c r="B297" s="23"/>
      <c r="C297" s="23"/>
      <c r="D297" s="23"/>
      <c r="E297" s="23"/>
      <c r="F297" s="23"/>
      <c r="G297" s="23"/>
      <c r="H297" s="23"/>
      <c r="I297" s="23"/>
    </row>
    <row r="298" spans="1:9" ht="14.45" customHeight="1">
      <c r="A298" s="49">
        <v>9</v>
      </c>
      <c r="B298" s="35" t="s">
        <v>33</v>
      </c>
      <c r="C298" s="35"/>
      <c r="D298" s="35"/>
      <c r="E298" s="35"/>
      <c r="F298" s="35"/>
      <c r="G298" s="35"/>
      <c r="H298" s="24" t="s">
        <v>36</v>
      </c>
      <c r="I298" s="23"/>
    </row>
    <row r="299" spans="1:9" ht="14.45" customHeight="1">
      <c r="A299" s="49"/>
      <c r="B299" s="23" t="s">
        <v>35</v>
      </c>
      <c r="C299" s="50" t="str">
        <f>IF('Fee Receipt (Class-wise)'!C538="", "", 'Fee Receipt (Class-wise)'!C538)</f>
        <v>BASIC 2B</v>
      </c>
      <c r="D299" s="50"/>
      <c r="E299" s="23"/>
      <c r="F299" s="23"/>
      <c r="G299" s="23"/>
      <c r="H299" s="49">
        <f>IF(C299="", "", H332)</f>
        <v>33730</v>
      </c>
      <c r="I299" s="23"/>
    </row>
    <row r="300" spans="1:9" ht="14.45" customHeight="1">
      <c r="A300" s="49"/>
      <c r="B300" s="23" t="s">
        <v>34</v>
      </c>
      <c r="C300" s="50" t="str">
        <f>IF(C299="", "", 'Fee Receipt (Class-wise)'!$H$2)</f>
        <v>2025-26</v>
      </c>
      <c r="D300" s="50"/>
      <c r="E300" s="23"/>
      <c r="F300" s="23"/>
      <c r="G300" s="23"/>
      <c r="H300" s="49"/>
      <c r="I300" s="23"/>
    </row>
    <row r="301" spans="1:9" ht="14.45" customHeight="1">
      <c r="A301" s="35"/>
      <c r="B301" s="25" t="s">
        <v>1</v>
      </c>
      <c r="C301" s="25" t="s">
        <v>2</v>
      </c>
      <c r="D301" s="25" t="s">
        <v>9</v>
      </c>
      <c r="E301" s="23"/>
      <c r="F301" s="25" t="s">
        <v>1</v>
      </c>
      <c r="G301" s="25" t="s">
        <v>2</v>
      </c>
      <c r="H301" s="25" t="s">
        <v>9</v>
      </c>
      <c r="I301" s="23"/>
    </row>
    <row r="302" spans="1:9" ht="14.45" customHeight="1">
      <c r="A302" s="35"/>
      <c r="B302" s="25">
        <v>1</v>
      </c>
      <c r="C302" s="26" t="str">
        <f>IF('Fee Receipt (Class-wise)'!C541="", "", 'Fee Receipt (Class-wise)'!C541)</f>
        <v>ABDUL-MAJID TIPAYA</v>
      </c>
      <c r="D302" s="25">
        <f>'Fee Receipt (Class-wise)'!K541</f>
        <v>560</v>
      </c>
      <c r="E302" s="23"/>
      <c r="F302" s="25">
        <v>31</v>
      </c>
      <c r="G302" s="26" t="str">
        <f>IF('Fee Receipt (Class-wise)'!C571="", "", 'Fee Receipt (Class-wise)'!C571)</f>
        <v/>
      </c>
      <c r="H302" s="25">
        <f>'Fee Receipt (Class-wise)'!K571</f>
        <v>710</v>
      </c>
      <c r="I302" s="23"/>
    </row>
    <row r="303" spans="1:9" ht="14.45" customHeight="1">
      <c r="A303" s="35"/>
      <c r="B303" s="25">
        <v>2</v>
      </c>
      <c r="C303" s="26" t="str">
        <f>IF('Fee Receipt (Class-wise)'!C542="", "", 'Fee Receipt (Class-wise)'!C542)</f>
        <v>ABDUL-RAKIB RASHID</v>
      </c>
      <c r="D303" s="25">
        <f>'Fee Receipt (Class-wise)'!K542</f>
        <v>710</v>
      </c>
      <c r="E303" s="23"/>
      <c r="F303" s="25">
        <v>32</v>
      </c>
      <c r="G303" s="26" t="str">
        <f>IF('Fee Receipt (Class-wise)'!C572="", "", 'Fee Receipt (Class-wise)'!C572)</f>
        <v/>
      </c>
      <c r="H303" s="25">
        <f>'Fee Receipt (Class-wise)'!K572</f>
        <v>710</v>
      </c>
      <c r="I303" s="23"/>
    </row>
    <row r="304" spans="1:9" ht="14.45" customHeight="1">
      <c r="A304" s="35"/>
      <c r="B304" s="25">
        <v>3</v>
      </c>
      <c r="C304" s="26" t="str">
        <f>IF('Fee Receipt (Class-wise)'!C543="", "", 'Fee Receipt (Class-wise)'!C543)</f>
        <v>ACHINI OTOO DAVID</v>
      </c>
      <c r="D304" s="25">
        <f>'Fee Receipt (Class-wise)'!K543</f>
        <v>360</v>
      </c>
      <c r="E304" s="23"/>
      <c r="F304" s="25">
        <v>33</v>
      </c>
      <c r="G304" s="26" t="str">
        <f>IF('Fee Receipt (Class-wise)'!C573="", "", 'Fee Receipt (Class-wise)'!C573)</f>
        <v/>
      </c>
      <c r="H304" s="25">
        <f>'Fee Receipt (Class-wise)'!K573</f>
        <v>710</v>
      </c>
      <c r="I304" s="23"/>
    </row>
    <row r="305" spans="1:9" ht="14.45" customHeight="1">
      <c r="A305" s="35"/>
      <c r="B305" s="25">
        <v>4</v>
      </c>
      <c r="C305" s="26" t="str">
        <f>IF('Fee Receipt (Class-wise)'!C544="", "", 'Fee Receipt (Class-wise)'!C544)</f>
        <v>AFORLEHO ERIC</v>
      </c>
      <c r="D305" s="25">
        <f>'Fee Receipt (Class-wise)'!K544</f>
        <v>0</v>
      </c>
      <c r="E305" s="23"/>
      <c r="F305" s="25">
        <v>34</v>
      </c>
      <c r="G305" s="26" t="str">
        <f>IF('Fee Receipt (Class-wise)'!C574="", "", 'Fee Receipt (Class-wise)'!C574)</f>
        <v/>
      </c>
      <c r="H305" s="25">
        <f>'Fee Receipt (Class-wise)'!K574</f>
        <v>710</v>
      </c>
      <c r="I305" s="23"/>
    </row>
    <row r="306" spans="1:9" ht="14.45" customHeight="1">
      <c r="A306" s="35"/>
      <c r="B306" s="25">
        <v>5</v>
      </c>
      <c r="C306" s="26" t="str">
        <f>IF('Fee Receipt (Class-wise)'!C545="", "", 'Fee Receipt (Class-wise)'!C545)</f>
        <v>AGYEMANG RUBEN</v>
      </c>
      <c r="D306" s="25">
        <f>'Fee Receipt (Class-wise)'!K545</f>
        <v>610</v>
      </c>
      <c r="E306" s="23"/>
      <c r="F306" s="25">
        <v>35</v>
      </c>
      <c r="G306" s="26" t="str">
        <f>IF('Fee Receipt (Class-wise)'!C575="", "", 'Fee Receipt (Class-wise)'!C575)</f>
        <v/>
      </c>
      <c r="H306" s="25">
        <f>'Fee Receipt (Class-wise)'!K575</f>
        <v>710</v>
      </c>
      <c r="I306" s="23"/>
    </row>
    <row r="307" spans="1:9" ht="14.45" customHeight="1">
      <c r="A307" s="35"/>
      <c r="B307" s="25">
        <v>6</v>
      </c>
      <c r="C307" s="26" t="str">
        <f>IF('Fee Receipt (Class-wise)'!C546="", "", 'Fee Receipt (Class-wise)'!C546)</f>
        <v>AHIABA ELSIE</v>
      </c>
      <c r="D307" s="25">
        <f>'Fee Receipt (Class-wise)'!K546</f>
        <v>110</v>
      </c>
      <c r="E307" s="23"/>
      <c r="F307" s="25">
        <v>36</v>
      </c>
      <c r="G307" s="26" t="str">
        <f>IF('Fee Receipt (Class-wise)'!C576="", "", 'Fee Receipt (Class-wise)'!C576)</f>
        <v/>
      </c>
      <c r="H307" s="25">
        <f>'Fee Receipt (Class-wise)'!K576</f>
        <v>710</v>
      </c>
      <c r="I307" s="23"/>
    </row>
    <row r="308" spans="1:9" ht="14.45" customHeight="1">
      <c r="A308" s="35"/>
      <c r="B308" s="25">
        <v>7</v>
      </c>
      <c r="C308" s="26" t="str">
        <f>IF('Fee Receipt (Class-wise)'!C547="", "", 'Fee Receipt (Class-wise)'!C547)</f>
        <v>AHORLU ASEYE KAREN</v>
      </c>
      <c r="D308" s="25">
        <f>'Fee Receipt (Class-wise)'!K547</f>
        <v>0</v>
      </c>
      <c r="E308" s="23"/>
      <c r="F308" s="25">
        <v>37</v>
      </c>
      <c r="G308" s="26" t="str">
        <f>IF('Fee Receipt (Class-wise)'!C577="", "", 'Fee Receipt (Class-wise)'!C577)</f>
        <v/>
      </c>
      <c r="H308" s="25">
        <f>'Fee Receipt (Class-wise)'!K577</f>
        <v>710</v>
      </c>
      <c r="I308" s="23"/>
    </row>
    <row r="309" spans="1:9" ht="14.45" customHeight="1">
      <c r="A309" s="35"/>
      <c r="B309" s="25">
        <v>8</v>
      </c>
      <c r="C309" s="26" t="str">
        <f>IF('Fee Receipt (Class-wise)'!C548="", "", 'Fee Receipt (Class-wise)'!C548)</f>
        <v>AIKINS NATHANIEL</v>
      </c>
      <c r="D309" s="25">
        <f>'Fee Receipt (Class-wise)'!K548</f>
        <v>160</v>
      </c>
      <c r="E309" s="23"/>
      <c r="F309" s="25">
        <v>38</v>
      </c>
      <c r="G309" s="26" t="str">
        <f>IF('Fee Receipt (Class-wise)'!C578="", "", 'Fee Receipt (Class-wise)'!C578)</f>
        <v/>
      </c>
      <c r="H309" s="25">
        <f>'Fee Receipt (Class-wise)'!K578</f>
        <v>710</v>
      </c>
      <c r="I309" s="23"/>
    </row>
    <row r="310" spans="1:9" ht="14.45" customHeight="1">
      <c r="A310" s="35"/>
      <c r="B310" s="25">
        <v>9</v>
      </c>
      <c r="C310" s="26" t="str">
        <f>IF('Fee Receipt (Class-wise)'!C549="", "", 'Fee Receipt (Class-wise)'!C549)</f>
        <v>AMEDZA E. ALEXANDER</v>
      </c>
      <c r="D310" s="25">
        <f>'Fee Receipt (Class-wise)'!K549</f>
        <v>460</v>
      </c>
      <c r="E310" s="23"/>
      <c r="F310" s="25">
        <v>39</v>
      </c>
      <c r="G310" s="26" t="str">
        <f>IF('Fee Receipt (Class-wise)'!C579="", "", 'Fee Receipt (Class-wise)'!C579)</f>
        <v/>
      </c>
      <c r="H310" s="25">
        <f>'Fee Receipt (Class-wise)'!K579</f>
        <v>710</v>
      </c>
      <c r="I310" s="23"/>
    </row>
    <row r="311" spans="1:9" ht="14.45" customHeight="1">
      <c r="A311" s="35"/>
      <c r="B311" s="25">
        <v>10</v>
      </c>
      <c r="C311" s="26" t="str">
        <f>IF('Fee Receipt (Class-wise)'!C550="", "", 'Fee Receipt (Class-wise)'!C550)</f>
        <v>ATAMBIRE JOHN</v>
      </c>
      <c r="D311" s="25">
        <f>'Fee Receipt (Class-wise)'!K550</f>
        <v>260</v>
      </c>
      <c r="E311" s="23"/>
      <c r="F311" s="25">
        <v>40</v>
      </c>
      <c r="G311" s="26" t="str">
        <f>IF('Fee Receipt (Class-wise)'!C580="", "", 'Fee Receipt (Class-wise)'!C580)</f>
        <v/>
      </c>
      <c r="H311" s="25">
        <f>'Fee Receipt (Class-wise)'!K580</f>
        <v>710</v>
      </c>
      <c r="I311" s="23"/>
    </row>
    <row r="312" spans="1:9" ht="14.45" customHeight="1">
      <c r="A312" s="35"/>
      <c r="B312" s="25">
        <v>11</v>
      </c>
      <c r="C312" s="26" t="str">
        <f>IF('Fee Receipt (Class-wise)'!C551="", "", 'Fee Receipt (Class-wise)'!C551)</f>
        <v>COLE GYASI ETHAN</v>
      </c>
      <c r="D312" s="25">
        <f>'Fee Receipt (Class-wise)'!K551</f>
        <v>0</v>
      </c>
      <c r="E312" s="23"/>
      <c r="F312" s="25">
        <v>41</v>
      </c>
      <c r="G312" s="26" t="str">
        <f>IF('Fee Receipt (Class-wise)'!C581="", "", 'Fee Receipt (Class-wise)'!C581)</f>
        <v/>
      </c>
      <c r="H312" s="25">
        <f>'Fee Receipt (Class-wise)'!K581</f>
        <v>710</v>
      </c>
      <c r="I312" s="23"/>
    </row>
    <row r="313" spans="1:9" ht="14.45" customHeight="1">
      <c r="A313" s="35"/>
      <c r="B313" s="25">
        <v>12</v>
      </c>
      <c r="C313" s="26" t="str">
        <f>IF('Fee Receipt (Class-wise)'!C552="", "", 'Fee Receipt (Class-wise)'!C552)</f>
        <v>DAUDA FAHIMMA</v>
      </c>
      <c r="D313" s="25">
        <f>'Fee Receipt (Class-wise)'!K552</f>
        <v>410</v>
      </c>
      <c r="E313" s="23"/>
      <c r="F313" s="25">
        <v>42</v>
      </c>
      <c r="G313" s="26" t="str">
        <f>IF('Fee Receipt (Class-wise)'!C582="", "", 'Fee Receipt (Class-wise)'!C582)</f>
        <v/>
      </c>
      <c r="H313" s="25">
        <f>'Fee Receipt (Class-wise)'!K582</f>
        <v>710</v>
      </c>
      <c r="I313" s="23"/>
    </row>
    <row r="314" spans="1:9" ht="14.45" customHeight="1">
      <c r="A314" s="35"/>
      <c r="B314" s="25">
        <v>13</v>
      </c>
      <c r="C314" s="26" t="str">
        <f>IF('Fee Receipt (Class-wise)'!C553="", "", 'Fee Receipt (Class-wise)'!C553)</f>
        <v>DJAGBATEY MOSES</v>
      </c>
      <c r="D314" s="25">
        <f>'Fee Receipt (Class-wise)'!K553</f>
        <v>510</v>
      </c>
      <c r="E314" s="23"/>
      <c r="F314" s="25">
        <v>43</v>
      </c>
      <c r="G314" s="26" t="str">
        <f>IF('Fee Receipt (Class-wise)'!C583="", "", 'Fee Receipt (Class-wise)'!C583)</f>
        <v/>
      </c>
      <c r="H314" s="25">
        <f>'Fee Receipt (Class-wise)'!K583</f>
        <v>710</v>
      </c>
      <c r="I314" s="23"/>
    </row>
    <row r="315" spans="1:9" ht="14.45" customHeight="1">
      <c r="A315" s="35"/>
      <c r="B315" s="25">
        <v>14</v>
      </c>
      <c r="C315" s="26" t="str">
        <f>IF('Fee Receipt (Class-wise)'!C554="", "", 'Fee Receipt (Class-wise)'!C554)</f>
        <v>OSWALD HORLALI GIDEON</v>
      </c>
      <c r="D315" s="25">
        <f>'Fee Receipt (Class-wise)'!K554</f>
        <v>0</v>
      </c>
      <c r="E315" s="23"/>
      <c r="F315" s="25">
        <v>44</v>
      </c>
      <c r="G315" s="26" t="str">
        <f>IF('Fee Receipt (Class-wise)'!C584="", "", 'Fee Receipt (Class-wise)'!C584)</f>
        <v/>
      </c>
      <c r="H315" s="25">
        <f>'Fee Receipt (Class-wise)'!K584</f>
        <v>710</v>
      </c>
      <c r="I315" s="23"/>
    </row>
    <row r="316" spans="1:9" ht="14.45" customHeight="1">
      <c r="A316" s="35"/>
      <c r="B316" s="25">
        <v>15</v>
      </c>
      <c r="C316" s="26" t="str">
        <f>IF('Fee Receipt (Class-wise)'!C555="", "", 'Fee Receipt (Class-wise)'!C555)</f>
        <v>KABUTEY CAROLINE</v>
      </c>
      <c r="D316" s="25">
        <f>'Fee Receipt (Class-wise)'!K555</f>
        <v>110</v>
      </c>
      <c r="E316" s="23"/>
      <c r="F316" s="25">
        <v>45</v>
      </c>
      <c r="G316" s="26" t="str">
        <f>IF('Fee Receipt (Class-wise)'!C585="", "", 'Fee Receipt (Class-wise)'!C585)</f>
        <v/>
      </c>
      <c r="H316" s="25">
        <f>'Fee Receipt (Class-wise)'!K585</f>
        <v>710</v>
      </c>
      <c r="I316" s="23"/>
    </row>
    <row r="317" spans="1:9" ht="14.45" customHeight="1">
      <c r="A317" s="35"/>
      <c r="B317" s="25">
        <v>16</v>
      </c>
      <c r="C317" s="26" t="str">
        <f>IF('Fee Receipt (Class-wise)'!C556="", "", 'Fee Receipt (Class-wise)'!C556)</f>
        <v>KELEDORME SHINE</v>
      </c>
      <c r="D317" s="25">
        <f>'Fee Receipt (Class-wise)'!K556</f>
        <v>0</v>
      </c>
      <c r="E317" s="23"/>
      <c r="F317" s="25">
        <v>46</v>
      </c>
      <c r="G317" s="26" t="str">
        <f>IF('Fee Receipt (Class-wise)'!C586="", "", 'Fee Receipt (Class-wise)'!C586)</f>
        <v/>
      </c>
      <c r="H317" s="25">
        <f>'Fee Receipt (Class-wise)'!K586</f>
        <v>710</v>
      </c>
      <c r="I317" s="23"/>
    </row>
    <row r="318" spans="1:9" ht="14.45" customHeight="1">
      <c r="A318" s="35"/>
      <c r="B318" s="25">
        <v>17</v>
      </c>
      <c r="C318" s="26" t="str">
        <f>IF('Fee Receipt (Class-wise)'!C557="", "", 'Fee Receipt (Class-wise)'!C557)</f>
        <v>MIHESO DAVID KEKELI</v>
      </c>
      <c r="D318" s="25">
        <f>'Fee Receipt (Class-wise)'!K557</f>
        <v>710</v>
      </c>
      <c r="E318" s="23"/>
      <c r="F318" s="25">
        <v>47</v>
      </c>
      <c r="G318" s="26" t="str">
        <f>IF('Fee Receipt (Class-wise)'!C587="", "", 'Fee Receipt (Class-wise)'!C587)</f>
        <v/>
      </c>
      <c r="H318" s="25">
        <f>'Fee Receipt (Class-wise)'!K587</f>
        <v>710</v>
      </c>
      <c r="I318" s="23"/>
    </row>
    <row r="319" spans="1:9" ht="14.45" customHeight="1">
      <c r="A319" s="35"/>
      <c r="B319" s="25">
        <v>18</v>
      </c>
      <c r="C319" s="26" t="str">
        <f>IF('Fee Receipt (Class-wise)'!C558="", "", 'Fee Receipt (Class-wise)'!C558)</f>
        <v>POMEYI JOSHUA</v>
      </c>
      <c r="D319" s="25">
        <f>'Fee Receipt (Class-wise)'!K558</f>
        <v>210</v>
      </c>
      <c r="E319" s="23"/>
      <c r="F319" s="25">
        <v>48</v>
      </c>
      <c r="G319" s="26" t="str">
        <f>IF('Fee Receipt (Class-wise)'!C588="", "", 'Fee Receipt (Class-wise)'!C588)</f>
        <v/>
      </c>
      <c r="H319" s="25">
        <f>'Fee Receipt (Class-wise)'!K588</f>
        <v>710</v>
      </c>
      <c r="I319" s="23"/>
    </row>
    <row r="320" spans="1:9" ht="14.45" customHeight="1">
      <c r="A320" s="35"/>
      <c r="B320" s="25">
        <v>19</v>
      </c>
      <c r="C320" s="26" t="str">
        <f>IF('Fee Receipt (Class-wise)'!C559="", "", 'Fee Receipt (Class-wise)'!C559)</f>
        <v>QUAYSON JUDE</v>
      </c>
      <c r="D320" s="25">
        <f>'Fee Receipt (Class-wise)'!K559</f>
        <v>0</v>
      </c>
      <c r="E320" s="23"/>
      <c r="F320" s="25">
        <v>49</v>
      </c>
      <c r="G320" s="26" t="str">
        <f>IF('Fee Receipt (Class-wise)'!C589="", "", 'Fee Receipt (Class-wise)'!C589)</f>
        <v/>
      </c>
      <c r="H320" s="25">
        <f>'Fee Receipt (Class-wise)'!K589</f>
        <v>710</v>
      </c>
      <c r="I320" s="23"/>
    </row>
    <row r="321" spans="1:9" ht="14.45" customHeight="1">
      <c r="A321" s="35"/>
      <c r="B321" s="25">
        <v>20</v>
      </c>
      <c r="C321" s="26" t="str">
        <f>IF('Fee Receipt (Class-wise)'!C560="", "", 'Fee Receipt (Class-wise)'!C560)</f>
        <v xml:space="preserve">TETTEH ANDY </v>
      </c>
      <c r="D321" s="25">
        <f>'Fee Receipt (Class-wise)'!K560</f>
        <v>700</v>
      </c>
      <c r="E321" s="23"/>
      <c r="F321" s="25">
        <v>50</v>
      </c>
      <c r="G321" s="26" t="str">
        <f>IF('Fee Receipt (Class-wise)'!C590="", "", 'Fee Receipt (Class-wise)'!C590)</f>
        <v/>
      </c>
      <c r="H321" s="25">
        <f>'Fee Receipt (Class-wise)'!K590</f>
        <v>710</v>
      </c>
      <c r="I321" s="23"/>
    </row>
    <row r="322" spans="1:9" ht="14.45" customHeight="1">
      <c r="A322" s="35"/>
      <c r="B322" s="25">
        <v>21</v>
      </c>
      <c r="C322" s="26" t="str">
        <f>IF('Fee Receipt (Class-wise)'!C561="", "", 'Fee Receipt (Class-wise)'!C561)</f>
        <v>TETTEH COMFORT</v>
      </c>
      <c r="D322" s="25">
        <f>'Fee Receipt (Class-wise)'!K561</f>
        <v>160</v>
      </c>
      <c r="E322" s="23"/>
      <c r="F322" s="25">
        <v>51</v>
      </c>
      <c r="G322" s="26" t="str">
        <f>IF('Fee Receipt (Class-wise)'!C591="", "", 'Fee Receipt (Class-wise)'!C591)</f>
        <v/>
      </c>
      <c r="H322" s="25">
        <f>'Fee Receipt (Class-wise)'!K591</f>
        <v>710</v>
      </c>
      <c r="I322" s="23"/>
    </row>
    <row r="323" spans="1:9" ht="14.45" customHeight="1">
      <c r="A323" s="35"/>
      <c r="B323" s="25">
        <v>22</v>
      </c>
      <c r="C323" s="26" t="str">
        <f>IF('Fee Receipt (Class-wise)'!C562="", "", 'Fee Receipt (Class-wise)'!C562)</f>
        <v>ZAKARIA YUMZAA</v>
      </c>
      <c r="D323" s="25">
        <f>'Fee Receipt (Class-wise)'!K562</f>
        <v>710</v>
      </c>
      <c r="E323" s="23"/>
      <c r="F323" s="25">
        <v>52</v>
      </c>
      <c r="G323" s="26" t="str">
        <f>IF('Fee Receipt (Class-wise)'!C592="", "", 'Fee Receipt (Class-wise)'!C592)</f>
        <v/>
      </c>
      <c r="H323" s="25">
        <f>'Fee Receipt (Class-wise)'!K592</f>
        <v>710</v>
      </c>
      <c r="I323" s="23"/>
    </row>
    <row r="324" spans="1:9" ht="14.45" customHeight="1">
      <c r="A324" s="35"/>
      <c r="B324" s="25">
        <v>23</v>
      </c>
      <c r="C324" s="26" t="str">
        <f>IF('Fee Receipt (Class-wise)'!C563="", "", 'Fee Receipt (Class-wise)'!C563)</f>
        <v/>
      </c>
      <c r="D324" s="25">
        <f>'Fee Receipt (Class-wise)'!K563</f>
        <v>710</v>
      </c>
      <c r="E324" s="23"/>
      <c r="F324" s="25">
        <v>53</v>
      </c>
      <c r="G324" s="26" t="str">
        <f>IF('Fee Receipt (Class-wise)'!C593="", "", 'Fee Receipt (Class-wise)'!C593)</f>
        <v/>
      </c>
      <c r="H324" s="25">
        <f>'Fee Receipt (Class-wise)'!K593</f>
        <v>710</v>
      </c>
      <c r="I324" s="23"/>
    </row>
    <row r="325" spans="1:9" ht="14.45" customHeight="1">
      <c r="A325" s="35"/>
      <c r="B325" s="25">
        <v>24</v>
      </c>
      <c r="C325" s="26" t="str">
        <f>IF('Fee Receipt (Class-wise)'!C564="", "", 'Fee Receipt (Class-wise)'!C564)</f>
        <v/>
      </c>
      <c r="D325" s="25">
        <f>'Fee Receipt (Class-wise)'!K564</f>
        <v>710</v>
      </c>
      <c r="E325" s="23"/>
      <c r="F325" s="25">
        <v>54</v>
      </c>
      <c r="G325" s="26" t="str">
        <f>IF('Fee Receipt (Class-wise)'!C594="", "", 'Fee Receipt (Class-wise)'!C594)</f>
        <v/>
      </c>
      <c r="H325" s="25">
        <f>'Fee Receipt (Class-wise)'!K594</f>
        <v>710</v>
      </c>
      <c r="I325" s="23"/>
    </row>
    <row r="326" spans="1:9" ht="14.45" customHeight="1">
      <c r="A326" s="35"/>
      <c r="B326" s="25">
        <v>25</v>
      </c>
      <c r="C326" s="26" t="str">
        <f>IF('Fee Receipt (Class-wise)'!C565="", "", 'Fee Receipt (Class-wise)'!C565)</f>
        <v/>
      </c>
      <c r="D326" s="25">
        <f>'Fee Receipt (Class-wise)'!K565</f>
        <v>710</v>
      </c>
      <c r="E326" s="23"/>
      <c r="F326" s="25">
        <v>55</v>
      </c>
      <c r="G326" s="26" t="str">
        <f>IF('Fee Receipt (Class-wise)'!C595="", "", 'Fee Receipt (Class-wise)'!C595)</f>
        <v/>
      </c>
      <c r="H326" s="25">
        <f>'Fee Receipt (Class-wise)'!K595</f>
        <v>710</v>
      </c>
      <c r="I326" s="23"/>
    </row>
    <row r="327" spans="1:9" ht="14.45" customHeight="1">
      <c r="A327" s="35"/>
      <c r="B327" s="25">
        <v>26</v>
      </c>
      <c r="C327" s="26" t="str">
        <f>IF('Fee Receipt (Class-wise)'!C566="", "", 'Fee Receipt (Class-wise)'!C566)</f>
        <v/>
      </c>
      <c r="D327" s="25">
        <f>'Fee Receipt (Class-wise)'!K566</f>
        <v>710</v>
      </c>
      <c r="E327" s="23"/>
      <c r="F327" s="25">
        <v>56</v>
      </c>
      <c r="G327" s="26" t="str">
        <f>IF('Fee Receipt (Class-wise)'!C596="", "", 'Fee Receipt (Class-wise)'!C596)</f>
        <v/>
      </c>
      <c r="H327" s="25">
        <f>'Fee Receipt (Class-wise)'!K596</f>
        <v>710</v>
      </c>
      <c r="I327" s="23"/>
    </row>
    <row r="328" spans="1:9" ht="14.45" customHeight="1">
      <c r="A328" s="35"/>
      <c r="B328" s="25">
        <v>27</v>
      </c>
      <c r="C328" s="26" t="str">
        <f>IF('Fee Receipt (Class-wise)'!C567="", "", 'Fee Receipt (Class-wise)'!C567)</f>
        <v/>
      </c>
      <c r="D328" s="25">
        <f>'Fee Receipt (Class-wise)'!K567</f>
        <v>710</v>
      </c>
      <c r="E328" s="23"/>
      <c r="F328" s="25">
        <v>57</v>
      </c>
      <c r="G328" s="26" t="str">
        <f>IF('Fee Receipt (Class-wise)'!C597="", "", 'Fee Receipt (Class-wise)'!C597)</f>
        <v/>
      </c>
      <c r="H328" s="25">
        <f>'Fee Receipt (Class-wise)'!K597</f>
        <v>710</v>
      </c>
      <c r="I328" s="23"/>
    </row>
    <row r="329" spans="1:9" ht="14.45" customHeight="1">
      <c r="A329" s="35"/>
      <c r="B329" s="25">
        <v>28</v>
      </c>
      <c r="C329" s="26" t="str">
        <f>IF('Fee Receipt (Class-wise)'!C568="", "", 'Fee Receipt (Class-wise)'!C568)</f>
        <v/>
      </c>
      <c r="D329" s="25">
        <f>'Fee Receipt (Class-wise)'!K568</f>
        <v>710</v>
      </c>
      <c r="E329" s="23"/>
      <c r="F329" s="25">
        <v>58</v>
      </c>
      <c r="G329" s="26" t="str">
        <f>IF('Fee Receipt (Class-wise)'!C598="", "", 'Fee Receipt (Class-wise)'!C598)</f>
        <v/>
      </c>
      <c r="H329" s="25">
        <f>'Fee Receipt (Class-wise)'!K598</f>
        <v>710</v>
      </c>
      <c r="I329" s="23"/>
    </row>
    <row r="330" spans="1:9" ht="14.45" customHeight="1">
      <c r="A330" s="35"/>
      <c r="B330" s="25">
        <v>29</v>
      </c>
      <c r="C330" s="26" t="str">
        <f>IF('Fee Receipt (Class-wise)'!C569="", "", 'Fee Receipt (Class-wise)'!C569)</f>
        <v/>
      </c>
      <c r="D330" s="25">
        <f>'Fee Receipt (Class-wise)'!K569</f>
        <v>710</v>
      </c>
      <c r="E330" s="23"/>
      <c r="F330" s="25">
        <v>59</v>
      </c>
      <c r="G330" s="26" t="str">
        <f>IF('Fee Receipt (Class-wise)'!C599="", "", 'Fee Receipt (Class-wise)'!C599)</f>
        <v/>
      </c>
      <c r="H330" s="25">
        <f>'Fee Receipt (Class-wise)'!K599</f>
        <v>710</v>
      </c>
      <c r="I330" s="23"/>
    </row>
    <row r="331" spans="1:9" ht="14.45" customHeight="1">
      <c r="A331" s="35"/>
      <c r="B331" s="25">
        <v>30</v>
      </c>
      <c r="C331" s="26" t="str">
        <f>IF('Fee Receipt (Class-wise)'!C570="", "", 'Fee Receipt (Class-wise)'!C570)</f>
        <v/>
      </c>
      <c r="D331" s="25">
        <f>'Fee Receipt (Class-wise)'!K570</f>
        <v>710</v>
      </c>
      <c r="E331" s="23"/>
      <c r="F331" s="25">
        <v>60</v>
      </c>
      <c r="G331" s="26" t="str">
        <f>IF('Fee Receipt (Class-wise)'!C600="", "", 'Fee Receipt (Class-wise)'!C600)</f>
        <v/>
      </c>
      <c r="H331" s="25">
        <f>'Fee Receipt (Class-wise)'!K600</f>
        <v>710</v>
      </c>
      <c r="I331" s="23"/>
    </row>
    <row r="332" spans="1:9" ht="14.45" customHeight="1">
      <c r="A332" s="35"/>
      <c r="B332" s="25"/>
      <c r="C332" s="23"/>
      <c r="D332" s="23"/>
      <c r="E332" s="23"/>
      <c r="F332" s="33" t="s">
        <v>31</v>
      </c>
      <c r="G332" s="33"/>
      <c r="H332" s="24">
        <f>SUM(D302:D331)+SUM(H302:H331)</f>
        <v>33730</v>
      </c>
      <c r="I332" s="23"/>
    </row>
    <row r="333" spans="1:9" ht="14.45" customHeight="1">
      <c r="B333" s="23"/>
      <c r="C333" s="23"/>
      <c r="D333" s="23"/>
      <c r="E333" s="23"/>
      <c r="F333" s="23"/>
      <c r="G333" s="23"/>
      <c r="H333" s="23"/>
      <c r="I333" s="23"/>
    </row>
    <row r="334" spans="1:9" ht="14.45" customHeight="1">
      <c r="B334" s="23"/>
      <c r="C334" s="23"/>
      <c r="D334" s="23"/>
      <c r="E334" s="23"/>
      <c r="F334" s="23"/>
      <c r="G334" s="23"/>
      <c r="H334" s="23"/>
      <c r="I334" s="23"/>
    </row>
    <row r="335" spans="1:9" ht="14.45" customHeight="1">
      <c r="A335" s="49">
        <v>10</v>
      </c>
      <c r="B335" s="35" t="s">
        <v>33</v>
      </c>
      <c r="C335" s="35"/>
      <c r="D335" s="35"/>
      <c r="E335" s="23"/>
      <c r="F335" s="23"/>
      <c r="G335" s="23"/>
      <c r="H335" s="24" t="s">
        <v>36</v>
      </c>
      <c r="I335" s="23"/>
    </row>
    <row r="336" spans="1:9" ht="14.45" customHeight="1">
      <c r="A336" s="49"/>
      <c r="B336" s="23" t="s">
        <v>35</v>
      </c>
      <c r="C336" s="50" t="str">
        <f>IF('Fee Receipt (Class-wise)'!C605="", "", 'Fee Receipt (Class-wise)'!C605)</f>
        <v>BASIC 3A</v>
      </c>
      <c r="D336" s="50"/>
      <c r="E336" s="23"/>
      <c r="F336" s="23"/>
      <c r="G336" s="23"/>
      <c r="H336" s="49">
        <f>IF(C336="", "", H369)</f>
        <v>30480</v>
      </c>
      <c r="I336" s="23"/>
    </row>
    <row r="337" spans="1:9" ht="14.45" customHeight="1">
      <c r="A337" s="49"/>
      <c r="B337" s="23" t="s">
        <v>34</v>
      </c>
      <c r="C337" s="50" t="str">
        <f>IF(C336="", "", 'Fee Receipt (Class-wise)'!$H$2)</f>
        <v>2025-26</v>
      </c>
      <c r="D337" s="50"/>
      <c r="E337" s="23"/>
      <c r="F337" s="23"/>
      <c r="G337" s="23"/>
      <c r="H337" s="49"/>
      <c r="I337" s="23"/>
    </row>
    <row r="338" spans="1:9" ht="14.45" customHeight="1">
      <c r="A338" s="35"/>
      <c r="B338" s="25" t="s">
        <v>1</v>
      </c>
      <c r="C338" s="25" t="s">
        <v>2</v>
      </c>
      <c r="D338" s="25" t="s">
        <v>9</v>
      </c>
      <c r="E338" s="23"/>
      <c r="F338" s="25" t="s">
        <v>1</v>
      </c>
      <c r="G338" s="25" t="s">
        <v>2</v>
      </c>
      <c r="H338" s="25" t="s">
        <v>9</v>
      </c>
      <c r="I338" s="23"/>
    </row>
    <row r="339" spans="1:9" ht="14.45" customHeight="1">
      <c r="A339" s="35"/>
      <c r="B339" s="25">
        <v>1</v>
      </c>
      <c r="C339" s="26" t="str">
        <f>IF('Fee Receipt (Class-wise)'!C608="", "", 'Fee Receipt (Class-wise)'!C608)</f>
        <v>ADDY FELICIA</v>
      </c>
      <c r="D339" s="25">
        <f>'Fee Receipt (Class-wise)'!K608</f>
        <v>360</v>
      </c>
      <c r="E339" s="23"/>
      <c r="F339" s="25">
        <v>31</v>
      </c>
      <c r="G339" s="26" t="str">
        <f>IF('Fee Receipt (Class-wise)'!C638="", "", 'Fee Receipt (Class-wise)'!C638)</f>
        <v/>
      </c>
      <c r="H339" s="25">
        <f>'Fee Receipt (Class-wise)'!K638</f>
        <v>710</v>
      </c>
      <c r="I339" s="23"/>
    </row>
    <row r="340" spans="1:9" ht="14.45" customHeight="1">
      <c r="A340" s="35"/>
      <c r="B340" s="25">
        <v>2</v>
      </c>
      <c r="C340" s="26" t="str">
        <f>IF('Fee Receipt (Class-wise)'!C609="", "", 'Fee Receipt (Class-wise)'!C609)</f>
        <v>ADU ERNESTINA</v>
      </c>
      <c r="D340" s="25">
        <f>'Fee Receipt (Class-wise)'!K609</f>
        <v>0</v>
      </c>
      <c r="E340" s="23"/>
      <c r="F340" s="25">
        <v>32</v>
      </c>
      <c r="G340" s="26" t="str">
        <f>IF('Fee Receipt (Class-wise)'!C639="", "", 'Fee Receipt (Class-wise)'!C639)</f>
        <v/>
      </c>
      <c r="H340" s="25">
        <f>'Fee Receipt (Class-wise)'!K639</f>
        <v>710</v>
      </c>
      <c r="I340" s="23"/>
    </row>
    <row r="341" spans="1:9" ht="14.45" customHeight="1">
      <c r="A341" s="35"/>
      <c r="B341" s="25">
        <v>3</v>
      </c>
      <c r="C341" s="26" t="str">
        <f>IF('Fee Receipt (Class-wise)'!C610="", "", 'Fee Receipt (Class-wise)'!C610)</f>
        <v>AFAGLO NUNANA</v>
      </c>
      <c r="D341" s="25">
        <f>'Fee Receipt (Class-wise)'!K610</f>
        <v>110</v>
      </c>
      <c r="E341" s="23"/>
      <c r="F341" s="25">
        <v>33</v>
      </c>
      <c r="G341" s="26" t="str">
        <f>IF('Fee Receipt (Class-wise)'!C640="", "", 'Fee Receipt (Class-wise)'!C640)</f>
        <v/>
      </c>
      <c r="H341" s="25">
        <f>'Fee Receipt (Class-wise)'!K640</f>
        <v>710</v>
      </c>
      <c r="I341" s="23"/>
    </row>
    <row r="342" spans="1:9" ht="14.45" customHeight="1">
      <c r="A342" s="35"/>
      <c r="B342" s="25">
        <v>4</v>
      </c>
      <c r="C342" s="26" t="str">
        <f>IF('Fee Receipt (Class-wise)'!C611="", "", 'Fee Receipt (Class-wise)'!C611)</f>
        <v>AGBOVI ADI FELIX</v>
      </c>
      <c r="D342" s="25">
        <f>'Fee Receipt (Class-wise)'!K611</f>
        <v>0</v>
      </c>
      <c r="E342" s="23"/>
      <c r="F342" s="25">
        <v>34</v>
      </c>
      <c r="G342" s="26" t="str">
        <f>IF('Fee Receipt (Class-wise)'!C641="", "", 'Fee Receipt (Class-wise)'!C641)</f>
        <v/>
      </c>
      <c r="H342" s="25">
        <f>'Fee Receipt (Class-wise)'!K641</f>
        <v>710</v>
      </c>
      <c r="I342" s="23"/>
    </row>
    <row r="343" spans="1:9" ht="14.45" customHeight="1">
      <c r="A343" s="35"/>
      <c r="B343" s="25">
        <v>5</v>
      </c>
      <c r="C343" s="26" t="str">
        <f>IF('Fee Receipt (Class-wise)'!C612="", "", 'Fee Receipt (Class-wise)'!C612)</f>
        <v>AGUDEY JUDE</v>
      </c>
      <c r="D343" s="25">
        <f>'Fee Receipt (Class-wise)'!K612</f>
        <v>410</v>
      </c>
      <c r="E343" s="23"/>
      <c r="F343" s="25">
        <v>35</v>
      </c>
      <c r="G343" s="26" t="str">
        <f>IF('Fee Receipt (Class-wise)'!C642="", "", 'Fee Receipt (Class-wise)'!C642)</f>
        <v/>
      </c>
      <c r="H343" s="25">
        <f>'Fee Receipt (Class-wise)'!K642</f>
        <v>710</v>
      </c>
      <c r="I343" s="23"/>
    </row>
    <row r="344" spans="1:9" ht="14.45" customHeight="1">
      <c r="A344" s="35"/>
      <c r="B344" s="25">
        <v>6</v>
      </c>
      <c r="C344" s="26" t="str">
        <f>IF('Fee Receipt (Class-wise)'!C613="", "", 'Fee Receipt (Class-wise)'!C613)</f>
        <v>AHEVOR DAVID</v>
      </c>
      <c r="D344" s="25">
        <f>'Fee Receipt (Class-wise)'!K613</f>
        <v>0</v>
      </c>
      <c r="E344" s="23"/>
      <c r="F344" s="25">
        <v>36</v>
      </c>
      <c r="G344" s="26" t="str">
        <f>IF('Fee Receipt (Class-wise)'!C643="", "", 'Fee Receipt (Class-wise)'!C643)</f>
        <v/>
      </c>
      <c r="H344" s="25">
        <f>'Fee Receipt (Class-wise)'!K643</f>
        <v>710</v>
      </c>
      <c r="I344" s="23"/>
    </row>
    <row r="345" spans="1:9" ht="14.45" customHeight="1">
      <c r="A345" s="35"/>
      <c r="B345" s="25">
        <v>7</v>
      </c>
      <c r="C345" s="26" t="str">
        <f>IF('Fee Receipt (Class-wise)'!C614="", "", 'Fee Receipt (Class-wise)'!C614)</f>
        <v>AMOAFO ISAAC</v>
      </c>
      <c r="D345" s="25">
        <f>'Fee Receipt (Class-wise)'!K614</f>
        <v>710</v>
      </c>
      <c r="E345" s="23"/>
      <c r="F345" s="25">
        <v>37</v>
      </c>
      <c r="G345" s="26" t="str">
        <f>IF('Fee Receipt (Class-wise)'!C644="", "", 'Fee Receipt (Class-wise)'!C644)</f>
        <v/>
      </c>
      <c r="H345" s="25">
        <f>'Fee Receipt (Class-wise)'!K644</f>
        <v>710</v>
      </c>
      <c r="I345" s="23"/>
    </row>
    <row r="346" spans="1:9" ht="14.45" customHeight="1">
      <c r="A346" s="35"/>
      <c r="B346" s="25">
        <v>8</v>
      </c>
      <c r="C346" s="26" t="str">
        <f>IF('Fee Receipt (Class-wise)'!C615="", "", 'Fee Receipt (Class-wise)'!C615)</f>
        <v>AMU K ANDY</v>
      </c>
      <c r="D346" s="25">
        <f>'Fee Receipt (Class-wise)'!K615</f>
        <v>410</v>
      </c>
      <c r="E346" s="23"/>
      <c r="F346" s="25">
        <v>38</v>
      </c>
      <c r="G346" s="26" t="str">
        <f>IF('Fee Receipt (Class-wise)'!C645="", "", 'Fee Receipt (Class-wise)'!C645)</f>
        <v/>
      </c>
      <c r="H346" s="25">
        <f>'Fee Receipt (Class-wise)'!K645</f>
        <v>710</v>
      </c>
      <c r="I346" s="23"/>
    </row>
    <row r="347" spans="1:9" ht="14.45" customHeight="1">
      <c r="A347" s="35"/>
      <c r="B347" s="25">
        <v>9</v>
      </c>
      <c r="C347" s="26" t="str">
        <f>IF('Fee Receipt (Class-wise)'!C616="", "", 'Fee Receipt (Class-wise)'!C616)</f>
        <v>ASAMANTI DEARER</v>
      </c>
      <c r="D347" s="25">
        <f>'Fee Receipt (Class-wise)'!K616</f>
        <v>0</v>
      </c>
      <c r="E347" s="23"/>
      <c r="F347" s="25">
        <v>39</v>
      </c>
      <c r="G347" s="26" t="str">
        <f>IF('Fee Receipt (Class-wise)'!C646="", "", 'Fee Receipt (Class-wise)'!C646)</f>
        <v/>
      </c>
      <c r="H347" s="25">
        <f>'Fee Receipt (Class-wise)'!K646</f>
        <v>710</v>
      </c>
      <c r="I347" s="23"/>
    </row>
    <row r="348" spans="1:9" ht="14.45" customHeight="1">
      <c r="A348" s="35"/>
      <c r="B348" s="25">
        <v>10</v>
      </c>
      <c r="C348" s="26" t="str">
        <f>IF('Fee Receipt (Class-wise)'!C617="", "", 'Fee Receipt (Class-wise)'!C617)</f>
        <v>BOSOMPRAH CELINE</v>
      </c>
      <c r="D348" s="25">
        <f>'Fee Receipt (Class-wise)'!K617</f>
        <v>710</v>
      </c>
      <c r="E348" s="23"/>
      <c r="F348" s="25">
        <v>40</v>
      </c>
      <c r="G348" s="26" t="str">
        <f>IF('Fee Receipt (Class-wise)'!C647="", "", 'Fee Receipt (Class-wise)'!C647)</f>
        <v/>
      </c>
      <c r="H348" s="25">
        <f>'Fee Receipt (Class-wise)'!K647</f>
        <v>710</v>
      </c>
      <c r="I348" s="23"/>
    </row>
    <row r="349" spans="1:9" ht="14.45" customHeight="1">
      <c r="A349" s="35"/>
      <c r="B349" s="25">
        <v>11</v>
      </c>
      <c r="C349" s="26" t="str">
        <f>IF('Fee Receipt (Class-wise)'!C618="", "", 'Fee Receipt (Class-wise)'!C618)</f>
        <v>BUA SAMIRA</v>
      </c>
      <c r="D349" s="25">
        <f>'Fee Receipt (Class-wise)'!K618</f>
        <v>110</v>
      </c>
      <c r="E349" s="23"/>
      <c r="F349" s="25">
        <v>41</v>
      </c>
      <c r="G349" s="26" t="str">
        <f>IF('Fee Receipt (Class-wise)'!C648="", "", 'Fee Receipt (Class-wise)'!C648)</f>
        <v/>
      </c>
      <c r="H349" s="25">
        <f>'Fee Receipt (Class-wise)'!K648</f>
        <v>710</v>
      </c>
      <c r="I349" s="23"/>
    </row>
    <row r="350" spans="1:9" ht="14.45" customHeight="1">
      <c r="A350" s="35"/>
      <c r="B350" s="25">
        <v>12</v>
      </c>
      <c r="C350" s="26" t="str">
        <f>IF('Fee Receipt (Class-wise)'!C619="", "", 'Fee Receipt (Class-wise)'!C619)</f>
        <v>CUDJOE YEASON</v>
      </c>
      <c r="D350" s="25">
        <f>'Fee Receipt (Class-wise)'!K619</f>
        <v>710</v>
      </c>
      <c r="E350" s="23"/>
      <c r="F350" s="25">
        <v>42</v>
      </c>
      <c r="G350" s="26" t="str">
        <f>IF('Fee Receipt (Class-wise)'!C649="", "", 'Fee Receipt (Class-wise)'!C649)</f>
        <v/>
      </c>
      <c r="H350" s="25">
        <f>'Fee Receipt (Class-wise)'!K649</f>
        <v>710</v>
      </c>
      <c r="I350" s="23"/>
    </row>
    <row r="351" spans="1:9" ht="14.45" customHeight="1">
      <c r="A351" s="35"/>
      <c r="B351" s="25">
        <v>13</v>
      </c>
      <c r="C351" s="26" t="str">
        <f>IF('Fee Receipt (Class-wise)'!C620="", "", 'Fee Receipt (Class-wise)'!C620)</f>
        <v>DUHO DORA</v>
      </c>
      <c r="D351" s="25">
        <f>'Fee Receipt (Class-wise)'!K620</f>
        <v>510</v>
      </c>
      <c r="E351" s="23"/>
      <c r="F351" s="25">
        <v>43</v>
      </c>
      <c r="G351" s="26" t="str">
        <f>IF('Fee Receipt (Class-wise)'!C650="", "", 'Fee Receipt (Class-wise)'!C650)</f>
        <v/>
      </c>
      <c r="H351" s="25">
        <f>'Fee Receipt (Class-wise)'!K650</f>
        <v>710</v>
      </c>
      <c r="I351" s="23"/>
    </row>
    <row r="352" spans="1:9" ht="14.45" customHeight="1">
      <c r="A352" s="35"/>
      <c r="B352" s="25">
        <v>14</v>
      </c>
      <c r="C352" s="26" t="str">
        <f>IF('Fee Receipt (Class-wise)'!C621="", "", 'Fee Receipt (Class-wise)'!C621)</f>
        <v>DUHO DORIS</v>
      </c>
      <c r="D352" s="25">
        <f>'Fee Receipt (Class-wise)'!K621</f>
        <v>510</v>
      </c>
      <c r="E352" s="23"/>
      <c r="F352" s="25">
        <v>44</v>
      </c>
      <c r="G352" s="26" t="str">
        <f>IF('Fee Receipt (Class-wise)'!C651="", "", 'Fee Receipt (Class-wise)'!C651)</f>
        <v/>
      </c>
      <c r="H352" s="25">
        <f>'Fee Receipt (Class-wise)'!K651</f>
        <v>710</v>
      </c>
      <c r="I352" s="23"/>
    </row>
    <row r="353" spans="1:9" ht="14.45" customHeight="1">
      <c r="A353" s="35"/>
      <c r="B353" s="25">
        <v>15</v>
      </c>
      <c r="C353" s="26" t="str">
        <f>IF('Fee Receipt (Class-wise)'!C622="", "", 'Fee Receipt (Class-wise)'!C622)</f>
        <v>EDUNYA WILLIAM</v>
      </c>
      <c r="D353" s="25">
        <f>'Fee Receipt (Class-wise)'!K622</f>
        <v>210</v>
      </c>
      <c r="E353" s="23"/>
      <c r="F353" s="25">
        <v>45</v>
      </c>
      <c r="G353" s="26" t="str">
        <f>IF('Fee Receipt (Class-wise)'!C652="", "", 'Fee Receipt (Class-wise)'!C652)</f>
        <v/>
      </c>
      <c r="H353" s="25">
        <f>'Fee Receipt (Class-wise)'!K652</f>
        <v>710</v>
      </c>
      <c r="I353" s="23"/>
    </row>
    <row r="354" spans="1:9" ht="14.45" customHeight="1">
      <c r="A354" s="35"/>
      <c r="B354" s="25">
        <v>16</v>
      </c>
      <c r="C354" s="26" t="str">
        <f>IF('Fee Receipt (Class-wise)'!C623="", "", 'Fee Receipt (Class-wise)'!C623)</f>
        <v>HADI ASANA</v>
      </c>
      <c r="D354" s="25">
        <f>'Fee Receipt (Class-wise)'!K623</f>
        <v>210</v>
      </c>
      <c r="E354" s="23"/>
      <c r="F354" s="25">
        <v>46</v>
      </c>
      <c r="G354" s="26" t="str">
        <f>IF('Fee Receipt (Class-wise)'!C653="", "", 'Fee Receipt (Class-wise)'!C653)</f>
        <v/>
      </c>
      <c r="H354" s="25">
        <f>'Fee Receipt (Class-wise)'!K653</f>
        <v>710</v>
      </c>
      <c r="I354" s="23"/>
    </row>
    <row r="355" spans="1:9" ht="14.45" customHeight="1">
      <c r="A355" s="35"/>
      <c r="B355" s="25">
        <v>17</v>
      </c>
      <c r="C355" s="26" t="str">
        <f>IF('Fee Receipt (Class-wise)'!C624="", "", 'Fee Receipt (Class-wise)'!C624)</f>
        <v>KETECHIE MCHAEL</v>
      </c>
      <c r="D355" s="25">
        <f>'Fee Receipt (Class-wise)'!K624</f>
        <v>0</v>
      </c>
      <c r="E355" s="23"/>
      <c r="F355" s="25">
        <v>47</v>
      </c>
      <c r="G355" s="26" t="str">
        <f>IF('Fee Receipt (Class-wise)'!C654="", "", 'Fee Receipt (Class-wise)'!C654)</f>
        <v/>
      </c>
      <c r="H355" s="25">
        <f>'Fee Receipt (Class-wise)'!K654</f>
        <v>710</v>
      </c>
      <c r="I355" s="23"/>
    </row>
    <row r="356" spans="1:9" ht="14.45" customHeight="1">
      <c r="A356" s="35"/>
      <c r="B356" s="25">
        <v>18</v>
      </c>
      <c r="C356" s="26" t="str">
        <f>IF('Fee Receipt (Class-wise)'!C625="", "", 'Fee Receipt (Class-wise)'!C625)</f>
        <v>KOSIPAH JUDE</v>
      </c>
      <c r="D356" s="25">
        <f>'Fee Receipt (Class-wise)'!K625</f>
        <v>310</v>
      </c>
      <c r="E356" s="23"/>
      <c r="F356" s="25">
        <v>48</v>
      </c>
      <c r="G356" s="26" t="str">
        <f>IF('Fee Receipt (Class-wise)'!C655="", "", 'Fee Receipt (Class-wise)'!C655)</f>
        <v/>
      </c>
      <c r="H356" s="25">
        <f>'Fee Receipt (Class-wise)'!K655</f>
        <v>710</v>
      </c>
      <c r="I356" s="23"/>
    </row>
    <row r="357" spans="1:9" ht="14.45" customHeight="1">
      <c r="A357" s="35"/>
      <c r="B357" s="25">
        <v>19</v>
      </c>
      <c r="C357" s="26" t="str">
        <f>IF('Fee Receipt (Class-wise)'!C626="", "", 'Fee Receipt (Class-wise)'!C626)</f>
        <v>KOTOKU BLESS</v>
      </c>
      <c r="D357" s="25">
        <f>'Fee Receipt (Class-wise)'!K626</f>
        <v>160</v>
      </c>
      <c r="E357" s="23"/>
      <c r="F357" s="25">
        <v>49</v>
      </c>
      <c r="G357" s="26" t="str">
        <f>IF('Fee Receipt (Class-wise)'!C656="", "", 'Fee Receipt (Class-wise)'!C656)</f>
        <v/>
      </c>
      <c r="H357" s="25">
        <f>'Fee Receipt (Class-wise)'!K656</f>
        <v>710</v>
      </c>
      <c r="I357" s="23"/>
    </row>
    <row r="358" spans="1:9" ht="14.45" customHeight="1">
      <c r="A358" s="35"/>
      <c r="B358" s="25">
        <v>20</v>
      </c>
      <c r="C358" s="26" t="str">
        <f>IF('Fee Receipt (Class-wise)'!C627="", "", 'Fee Receipt (Class-wise)'!C627)</f>
        <v>METUWODZI STEPHANIE</v>
      </c>
      <c r="D358" s="25">
        <f>'Fee Receipt (Class-wise)'!K627</f>
        <v>510</v>
      </c>
      <c r="E358" s="23"/>
      <c r="F358" s="25">
        <v>50</v>
      </c>
      <c r="G358" s="26" t="str">
        <f>IF('Fee Receipt (Class-wise)'!C657="", "", 'Fee Receipt (Class-wise)'!C657)</f>
        <v/>
      </c>
      <c r="H358" s="25">
        <f>'Fee Receipt (Class-wise)'!K657</f>
        <v>710</v>
      </c>
      <c r="I358" s="23"/>
    </row>
    <row r="359" spans="1:9" ht="14.45" customHeight="1">
      <c r="A359" s="35"/>
      <c r="B359" s="25">
        <v>21</v>
      </c>
      <c r="C359" s="26" t="str">
        <f>IF('Fee Receipt (Class-wise)'!C628="", "", 'Fee Receipt (Class-wise)'!C628)</f>
        <v>MOHAMMED ISMAIL YUSSIF</v>
      </c>
      <c r="D359" s="25">
        <f>'Fee Receipt (Class-wise)'!K628</f>
        <v>0</v>
      </c>
      <c r="E359" s="23"/>
      <c r="F359" s="25">
        <v>51</v>
      </c>
      <c r="G359" s="26" t="str">
        <f>IF('Fee Receipt (Class-wise)'!C658="", "", 'Fee Receipt (Class-wise)'!C658)</f>
        <v/>
      </c>
      <c r="H359" s="25">
        <f>'Fee Receipt (Class-wise)'!K658</f>
        <v>710</v>
      </c>
      <c r="I359" s="23"/>
    </row>
    <row r="360" spans="1:9" ht="14.45" customHeight="1">
      <c r="A360" s="35"/>
      <c r="B360" s="25">
        <v>22</v>
      </c>
      <c r="C360" s="26" t="str">
        <f>IF('Fee Receipt (Class-wise)'!C629="", "", 'Fee Receipt (Class-wise)'!C629)</f>
        <v>MONYEKOR KOKU EMMANUEL</v>
      </c>
      <c r="D360" s="25">
        <f>'Fee Receipt (Class-wise)'!K629</f>
        <v>0</v>
      </c>
      <c r="E360" s="23"/>
      <c r="F360" s="25">
        <v>52</v>
      </c>
      <c r="G360" s="26" t="str">
        <f>IF('Fee Receipt (Class-wise)'!C659="", "", 'Fee Receipt (Class-wise)'!C659)</f>
        <v/>
      </c>
      <c r="H360" s="25">
        <f>'Fee Receipt (Class-wise)'!K659</f>
        <v>710</v>
      </c>
      <c r="I360" s="23"/>
    </row>
    <row r="361" spans="1:9" ht="14.45" customHeight="1">
      <c r="A361" s="35"/>
      <c r="B361" s="25">
        <v>23</v>
      </c>
      <c r="C361" s="26" t="str">
        <f>IF('Fee Receipt (Class-wise)'!C630="", "", 'Fee Receipt (Class-wise)'!C630)</f>
        <v>NARTEY AKLEY LORDINA</v>
      </c>
      <c r="D361" s="25">
        <f>'Fee Receipt (Class-wise)'!K630</f>
        <v>410</v>
      </c>
      <c r="E361" s="23"/>
      <c r="F361" s="25">
        <v>53</v>
      </c>
      <c r="G361" s="26" t="str">
        <f>IF('Fee Receipt (Class-wise)'!C660="", "", 'Fee Receipt (Class-wise)'!C660)</f>
        <v/>
      </c>
      <c r="H361" s="25">
        <f>'Fee Receipt (Class-wise)'!K660</f>
        <v>710</v>
      </c>
      <c r="I361" s="23"/>
    </row>
    <row r="362" spans="1:9" ht="14.45" customHeight="1">
      <c r="A362" s="35"/>
      <c r="B362" s="25">
        <v>24</v>
      </c>
      <c r="C362" s="26" t="str">
        <f>IF('Fee Receipt (Class-wise)'!C631="", "", 'Fee Receipt (Class-wise)'!C631)</f>
        <v>ROBERTSON ELIJAH</v>
      </c>
      <c r="D362" s="25">
        <f>'Fee Receipt (Class-wise)'!K631</f>
        <v>310</v>
      </c>
      <c r="E362" s="23"/>
      <c r="F362" s="25">
        <v>54</v>
      </c>
      <c r="G362" s="26" t="str">
        <f>IF('Fee Receipt (Class-wise)'!C661="", "", 'Fee Receipt (Class-wise)'!C661)</f>
        <v/>
      </c>
      <c r="H362" s="25">
        <f>'Fee Receipt (Class-wise)'!K661</f>
        <v>710</v>
      </c>
      <c r="I362" s="23"/>
    </row>
    <row r="363" spans="1:9" ht="14.45" customHeight="1">
      <c r="A363" s="35"/>
      <c r="B363" s="25">
        <v>25</v>
      </c>
      <c r="C363" s="26" t="str">
        <f>IF('Fee Receipt (Class-wise)'!C632="", "", 'Fee Receipt (Class-wise)'!C632)</f>
        <v>SANNI AYISHA</v>
      </c>
      <c r="D363" s="25">
        <f>'Fee Receipt (Class-wise)'!K632</f>
        <v>310</v>
      </c>
      <c r="E363" s="23"/>
      <c r="F363" s="25">
        <v>55</v>
      </c>
      <c r="G363" s="26" t="str">
        <f>IF('Fee Receipt (Class-wise)'!C662="", "", 'Fee Receipt (Class-wise)'!C662)</f>
        <v/>
      </c>
      <c r="H363" s="25">
        <f>'Fee Receipt (Class-wise)'!K662</f>
        <v>710</v>
      </c>
      <c r="I363" s="23"/>
    </row>
    <row r="364" spans="1:9" ht="14.45" customHeight="1">
      <c r="A364" s="35"/>
      <c r="B364" s="25">
        <v>26</v>
      </c>
      <c r="C364" s="26" t="str">
        <f>IF('Fee Receipt (Class-wise)'!C633="", "", 'Fee Receipt (Class-wise)'!C633)</f>
        <v>SAWADOGO SELINAM</v>
      </c>
      <c r="D364" s="25">
        <f>'Fee Receipt (Class-wise)'!K633</f>
        <v>210</v>
      </c>
      <c r="E364" s="23"/>
      <c r="F364" s="25">
        <v>56</v>
      </c>
      <c r="G364" s="26" t="str">
        <f>IF('Fee Receipt (Class-wise)'!C663="", "", 'Fee Receipt (Class-wise)'!C663)</f>
        <v/>
      </c>
      <c r="H364" s="25">
        <f>'Fee Receipt (Class-wise)'!K663</f>
        <v>710</v>
      </c>
      <c r="I364" s="23"/>
    </row>
    <row r="365" spans="1:9" ht="14.45" customHeight="1">
      <c r="A365" s="35"/>
      <c r="B365" s="25">
        <v>27</v>
      </c>
      <c r="C365" s="26" t="str">
        <f>IF('Fee Receipt (Class-wise)'!C634="", "", 'Fee Receipt (Class-wise)'!C634)</f>
        <v>SEINI LUKMAN</v>
      </c>
      <c r="D365" s="25">
        <f>'Fee Receipt (Class-wise)'!K634</f>
        <v>0</v>
      </c>
      <c r="E365" s="23"/>
      <c r="F365" s="25">
        <v>57</v>
      </c>
      <c r="G365" s="26" t="str">
        <f>IF('Fee Receipt (Class-wise)'!C664="", "", 'Fee Receipt (Class-wise)'!C664)</f>
        <v/>
      </c>
      <c r="H365" s="25">
        <f>'Fee Receipt (Class-wise)'!K664</f>
        <v>710</v>
      </c>
      <c r="I365" s="23"/>
    </row>
    <row r="366" spans="1:9" ht="14.45" customHeight="1">
      <c r="A366" s="35"/>
      <c r="B366" s="25">
        <v>28</v>
      </c>
      <c r="C366" s="26" t="str">
        <f>IF('Fee Receipt (Class-wise)'!C635="", "", 'Fee Receipt (Class-wise)'!C635)</f>
        <v>SORKPOR KEKELI AUGUSTINE</v>
      </c>
      <c r="D366" s="25">
        <f>'Fee Receipt (Class-wise)'!K635</f>
        <v>710</v>
      </c>
      <c r="E366" s="23"/>
      <c r="F366" s="25">
        <v>58</v>
      </c>
      <c r="G366" s="26" t="str">
        <f>IF('Fee Receipt (Class-wise)'!C665="", "", 'Fee Receipt (Class-wise)'!C665)</f>
        <v/>
      </c>
      <c r="H366" s="25">
        <f>'Fee Receipt (Class-wise)'!K665</f>
        <v>710</v>
      </c>
      <c r="I366" s="23"/>
    </row>
    <row r="367" spans="1:9" ht="14.45" customHeight="1">
      <c r="A367" s="35"/>
      <c r="B367" s="25">
        <v>29</v>
      </c>
      <c r="C367" s="26" t="str">
        <f>IF('Fee Receipt (Class-wise)'!C636="", "", 'Fee Receipt (Class-wise)'!C636)</f>
        <v>WADUDU ABDUL HAQ</v>
      </c>
      <c r="D367" s="25">
        <f>'Fee Receipt (Class-wise)'!K636</f>
        <v>570</v>
      </c>
      <c r="E367" s="23"/>
      <c r="F367" s="25">
        <v>59</v>
      </c>
      <c r="G367" s="26" t="str">
        <f>IF('Fee Receipt (Class-wise)'!C666="", "", 'Fee Receipt (Class-wise)'!C666)</f>
        <v/>
      </c>
      <c r="H367" s="25">
        <f>'Fee Receipt (Class-wise)'!K666</f>
        <v>710</v>
      </c>
      <c r="I367" s="23"/>
    </row>
    <row r="368" spans="1:9" ht="14.45" customHeight="1">
      <c r="A368" s="35"/>
      <c r="B368" s="25">
        <v>30</v>
      </c>
      <c r="C368" s="26" t="str">
        <f>IF('Fee Receipt (Class-wise)'!C637="", "", 'Fee Receipt (Class-wise)'!C637)</f>
        <v/>
      </c>
      <c r="D368" s="25">
        <f>'Fee Receipt (Class-wise)'!K637</f>
        <v>710</v>
      </c>
      <c r="E368" s="23"/>
      <c r="F368" s="25">
        <v>60</v>
      </c>
      <c r="G368" s="26" t="str">
        <f>IF('Fee Receipt (Class-wise)'!C667="", "", 'Fee Receipt (Class-wise)'!C667)</f>
        <v/>
      </c>
      <c r="H368" s="25">
        <f>'Fee Receipt (Class-wise)'!K667</f>
        <v>710</v>
      </c>
      <c r="I368" s="23"/>
    </row>
    <row r="369" spans="1:9" ht="14.45" customHeight="1">
      <c r="A369" s="35"/>
      <c r="B369" s="25"/>
      <c r="C369" s="23"/>
      <c r="D369" s="23"/>
      <c r="E369" s="23"/>
      <c r="F369" s="33" t="s">
        <v>31</v>
      </c>
      <c r="G369" s="33"/>
      <c r="H369" s="24">
        <f>SUM(D339:D368)+SUM(H339:H368)</f>
        <v>30480</v>
      </c>
      <c r="I369" s="23"/>
    </row>
    <row r="370" spans="1:9" ht="14.45" customHeight="1">
      <c r="B370" s="23"/>
      <c r="C370" s="23"/>
      <c r="D370" s="23"/>
      <c r="E370" s="23"/>
      <c r="F370" s="23"/>
      <c r="G370" s="23"/>
      <c r="H370" s="23"/>
      <c r="I370" s="23"/>
    </row>
    <row r="371" spans="1:9" ht="14.45" customHeight="1">
      <c r="B371" s="23"/>
      <c r="C371" s="23"/>
      <c r="D371" s="23"/>
      <c r="E371" s="23"/>
      <c r="F371" s="23"/>
      <c r="G371" s="23"/>
      <c r="H371" s="23"/>
      <c r="I371" s="23"/>
    </row>
    <row r="372" spans="1:9" ht="14.45" customHeight="1">
      <c r="A372" s="49">
        <v>11</v>
      </c>
      <c r="B372" s="35" t="s">
        <v>33</v>
      </c>
      <c r="C372" s="35"/>
      <c r="D372" s="35"/>
      <c r="E372" s="35"/>
      <c r="F372" s="35"/>
      <c r="G372" s="35"/>
      <c r="H372" s="24" t="s">
        <v>36</v>
      </c>
      <c r="I372" s="23"/>
    </row>
    <row r="373" spans="1:9" ht="14.45" customHeight="1">
      <c r="A373" s="49"/>
      <c r="B373" s="23" t="s">
        <v>35</v>
      </c>
      <c r="C373" s="50" t="str">
        <f>IF('Fee Receipt (Class-wise)'!C672="", "", 'Fee Receipt (Class-wise)'!C672)</f>
        <v>BASIC 3B</v>
      </c>
      <c r="D373" s="50"/>
      <c r="E373" s="23"/>
      <c r="F373" s="23"/>
      <c r="G373" s="23"/>
      <c r="H373" s="49">
        <f>IF(C373="", "", H406)</f>
        <v>28590</v>
      </c>
      <c r="I373" s="23"/>
    </row>
    <row r="374" spans="1:9" ht="14.45" customHeight="1">
      <c r="A374" s="49"/>
      <c r="B374" s="23" t="s">
        <v>34</v>
      </c>
      <c r="C374" s="50" t="str">
        <f>IF(C373="", "", 'Fee Receipt (Class-wise)'!$H$2)</f>
        <v>2025-26</v>
      </c>
      <c r="D374" s="50"/>
      <c r="E374" s="23"/>
      <c r="F374" s="23"/>
      <c r="G374" s="23"/>
      <c r="H374" s="49"/>
      <c r="I374" s="23"/>
    </row>
    <row r="375" spans="1:9" ht="14.45" customHeight="1">
      <c r="A375" s="35"/>
      <c r="B375" s="25" t="s">
        <v>1</v>
      </c>
      <c r="C375" s="25" t="s">
        <v>2</v>
      </c>
      <c r="D375" s="25" t="s">
        <v>9</v>
      </c>
      <c r="E375" s="23"/>
      <c r="F375" s="25" t="s">
        <v>1</v>
      </c>
      <c r="G375" s="25" t="s">
        <v>2</v>
      </c>
      <c r="H375" s="25" t="s">
        <v>9</v>
      </c>
      <c r="I375" s="23"/>
    </row>
    <row r="376" spans="1:9" ht="14.45" customHeight="1">
      <c r="A376" s="35"/>
      <c r="B376" s="25">
        <v>1</v>
      </c>
      <c r="C376" s="26" t="str">
        <f>IF('Fee Receipt (Class-wise)'!C675="", "", 'Fee Receipt (Class-wise)'!C675)</f>
        <v>ABDUL MAJID FATIMA</v>
      </c>
      <c r="D376" s="25">
        <f>'Fee Receipt (Class-wise)'!K675</f>
        <v>110</v>
      </c>
      <c r="E376" s="23"/>
      <c r="F376" s="25">
        <v>31</v>
      </c>
      <c r="G376" s="26" t="str">
        <f>IF('Fee Receipt (Class-wise)'!C705="", "", 'Fee Receipt (Class-wise)'!C705)</f>
        <v/>
      </c>
      <c r="H376" s="25">
        <f>'Fee Receipt (Class-wise)'!K705</f>
        <v>710</v>
      </c>
      <c r="I376" s="23"/>
    </row>
    <row r="377" spans="1:9" ht="14.45" customHeight="1">
      <c r="A377" s="35"/>
      <c r="B377" s="25">
        <v>2</v>
      </c>
      <c r="C377" s="26" t="str">
        <f>IF('Fee Receipt (Class-wise)'!C676="", "", 'Fee Receipt (Class-wise)'!C676)</f>
        <v>ADDAI JUSTICE</v>
      </c>
      <c r="D377" s="25">
        <f>'Fee Receipt (Class-wise)'!K676</f>
        <v>0</v>
      </c>
      <c r="E377" s="23"/>
      <c r="F377" s="25">
        <v>32</v>
      </c>
      <c r="G377" s="26" t="str">
        <f>IF('Fee Receipt (Class-wise)'!C706="", "", 'Fee Receipt (Class-wise)'!C706)</f>
        <v/>
      </c>
      <c r="H377" s="25">
        <f>'Fee Receipt (Class-wise)'!K706</f>
        <v>710</v>
      </c>
      <c r="I377" s="23"/>
    </row>
    <row r="378" spans="1:9" ht="14.45" customHeight="1">
      <c r="A378" s="35"/>
      <c r="B378" s="25">
        <v>3</v>
      </c>
      <c r="C378" s="26" t="str">
        <f>IF('Fee Receipt (Class-wise)'!C677="", "", 'Fee Receipt (Class-wise)'!C677)</f>
        <v>AFARI MIRIAM</v>
      </c>
      <c r="D378" s="25">
        <f>'Fee Receipt (Class-wise)'!K677</f>
        <v>0</v>
      </c>
      <c r="E378" s="23"/>
      <c r="F378" s="25">
        <v>33</v>
      </c>
      <c r="G378" s="26" t="str">
        <f>IF('Fee Receipt (Class-wise)'!C707="", "", 'Fee Receipt (Class-wise)'!C707)</f>
        <v/>
      </c>
      <c r="H378" s="25">
        <f>'Fee Receipt (Class-wise)'!K707</f>
        <v>710</v>
      </c>
      <c r="I378" s="23"/>
    </row>
    <row r="379" spans="1:9" ht="14.45" customHeight="1">
      <c r="A379" s="35"/>
      <c r="B379" s="25">
        <v>4</v>
      </c>
      <c r="C379" s="26" t="str">
        <f>IF('Fee Receipt (Class-wise)'!C678="", "", 'Fee Receipt (Class-wise)'!C678)</f>
        <v>AGYEI SAMUEL</v>
      </c>
      <c r="D379" s="25">
        <f>'Fee Receipt (Class-wise)'!K678</f>
        <v>210</v>
      </c>
      <c r="E379" s="23"/>
      <c r="F379" s="25">
        <v>34</v>
      </c>
      <c r="G379" s="26" t="str">
        <f>IF('Fee Receipt (Class-wise)'!C708="", "", 'Fee Receipt (Class-wise)'!C708)</f>
        <v/>
      </c>
      <c r="H379" s="25">
        <f>'Fee Receipt (Class-wise)'!K708</f>
        <v>710</v>
      </c>
      <c r="I379" s="23"/>
    </row>
    <row r="380" spans="1:9" ht="14.45" customHeight="1">
      <c r="A380" s="35"/>
      <c r="B380" s="25">
        <v>5</v>
      </c>
      <c r="C380" s="26" t="str">
        <f>IF('Fee Receipt (Class-wise)'!C679="", "", 'Fee Receipt (Class-wise)'!C679)</f>
        <v>AIDOO MATILDA</v>
      </c>
      <c r="D380" s="25">
        <f>'Fee Receipt (Class-wise)'!K679</f>
        <v>160</v>
      </c>
      <c r="E380" s="23"/>
      <c r="F380" s="25">
        <v>35</v>
      </c>
      <c r="G380" s="26" t="str">
        <f>IF('Fee Receipt (Class-wise)'!C709="", "", 'Fee Receipt (Class-wise)'!C709)</f>
        <v/>
      </c>
      <c r="H380" s="25">
        <f>'Fee Receipt (Class-wise)'!K709</f>
        <v>710</v>
      </c>
      <c r="I380" s="23"/>
    </row>
    <row r="381" spans="1:9" ht="14.45" customHeight="1">
      <c r="A381" s="35"/>
      <c r="B381" s="25">
        <v>6</v>
      </c>
      <c r="C381" s="26" t="str">
        <f>IF('Fee Receipt (Class-wise)'!C680="", "", 'Fee Receipt (Class-wise)'!C680)</f>
        <v>AMOAKO MIRIAM</v>
      </c>
      <c r="D381" s="25">
        <f>'Fee Receipt (Class-wise)'!K680</f>
        <v>210</v>
      </c>
      <c r="E381" s="23"/>
      <c r="F381" s="25">
        <v>36</v>
      </c>
      <c r="G381" s="26" t="str">
        <f>IF('Fee Receipt (Class-wise)'!C710="", "", 'Fee Receipt (Class-wise)'!C710)</f>
        <v/>
      </c>
      <c r="H381" s="25">
        <f>'Fee Receipt (Class-wise)'!K710</f>
        <v>710</v>
      </c>
      <c r="I381" s="23"/>
    </row>
    <row r="382" spans="1:9" ht="14.45" customHeight="1">
      <c r="A382" s="35"/>
      <c r="B382" s="25">
        <v>7</v>
      </c>
      <c r="C382" s="26" t="str">
        <f>IF('Fee Receipt (Class-wise)'!C681="", "", 'Fee Receipt (Class-wise)'!C681)</f>
        <v>ASAMOAH GABRIEL</v>
      </c>
      <c r="D382" s="25">
        <f>'Fee Receipt (Class-wise)'!K681</f>
        <v>110</v>
      </c>
      <c r="E382" s="23"/>
      <c r="F382" s="25">
        <v>37</v>
      </c>
      <c r="G382" s="26" t="str">
        <f>IF('Fee Receipt (Class-wise)'!C711="", "", 'Fee Receipt (Class-wise)'!C711)</f>
        <v/>
      </c>
      <c r="H382" s="25">
        <f>'Fee Receipt (Class-wise)'!K711</f>
        <v>710</v>
      </c>
      <c r="I382" s="23"/>
    </row>
    <row r="383" spans="1:9" ht="14.45" customHeight="1">
      <c r="A383" s="35"/>
      <c r="B383" s="25">
        <v>8</v>
      </c>
      <c r="C383" s="26" t="str">
        <f>IF('Fee Receipt (Class-wise)'!C682="", "", 'Fee Receipt (Class-wise)'!C682)</f>
        <v>AYINGAH PATIENCE</v>
      </c>
      <c r="D383" s="25">
        <f>'Fee Receipt (Class-wise)'!K682</f>
        <v>510</v>
      </c>
      <c r="E383" s="23"/>
      <c r="F383" s="25">
        <v>38</v>
      </c>
      <c r="G383" s="26" t="str">
        <f>IF('Fee Receipt (Class-wise)'!C712="", "", 'Fee Receipt (Class-wise)'!C712)</f>
        <v/>
      </c>
      <c r="H383" s="25">
        <f>'Fee Receipt (Class-wise)'!K712</f>
        <v>710</v>
      </c>
      <c r="I383" s="23"/>
    </row>
    <row r="384" spans="1:9" ht="14.45" customHeight="1">
      <c r="A384" s="35"/>
      <c r="B384" s="25">
        <v>9</v>
      </c>
      <c r="C384" s="26" t="str">
        <f>IF('Fee Receipt (Class-wise)'!C683="", "", 'Fee Receipt (Class-wise)'!C683)</f>
        <v>BANUYE COMFORT</v>
      </c>
      <c r="D384" s="25">
        <f>'Fee Receipt (Class-wise)'!K683</f>
        <v>0</v>
      </c>
      <c r="E384" s="23"/>
      <c r="F384" s="25">
        <v>39</v>
      </c>
      <c r="G384" s="26" t="str">
        <f>IF('Fee Receipt (Class-wise)'!C713="", "", 'Fee Receipt (Class-wise)'!C713)</f>
        <v/>
      </c>
      <c r="H384" s="25">
        <f>'Fee Receipt (Class-wise)'!K713</f>
        <v>710</v>
      </c>
      <c r="I384" s="23"/>
    </row>
    <row r="385" spans="1:9" ht="14.45" customHeight="1">
      <c r="A385" s="35"/>
      <c r="B385" s="25">
        <v>10</v>
      </c>
      <c r="C385" s="26" t="str">
        <f>IF('Fee Receipt (Class-wise)'!C684="", "", 'Fee Receipt (Class-wise)'!C684)</f>
        <v>BINNEY MARVELOUS</v>
      </c>
      <c r="D385" s="25">
        <f>'Fee Receipt (Class-wise)'!K684</f>
        <v>0</v>
      </c>
      <c r="E385" s="23"/>
      <c r="F385" s="25">
        <v>40</v>
      </c>
      <c r="G385" s="26" t="str">
        <f>IF('Fee Receipt (Class-wise)'!C714="", "", 'Fee Receipt (Class-wise)'!C714)</f>
        <v/>
      </c>
      <c r="H385" s="25">
        <f>'Fee Receipt (Class-wise)'!K714</f>
        <v>710</v>
      </c>
      <c r="I385" s="23"/>
    </row>
    <row r="386" spans="1:9" ht="14.45" customHeight="1">
      <c r="A386" s="35"/>
      <c r="B386" s="25">
        <v>11</v>
      </c>
      <c r="C386" s="26" t="str">
        <f>IF('Fee Receipt (Class-wise)'!C685="", "", 'Fee Receipt (Class-wise)'!C685)</f>
        <v>BOTCHWAY GRACELYN</v>
      </c>
      <c r="D386" s="25">
        <f>'Fee Receipt (Class-wise)'!K685</f>
        <v>710</v>
      </c>
      <c r="E386" s="23"/>
      <c r="F386" s="25">
        <v>41</v>
      </c>
      <c r="G386" s="26" t="str">
        <f>IF('Fee Receipt (Class-wise)'!C715="", "", 'Fee Receipt (Class-wise)'!C715)</f>
        <v/>
      </c>
      <c r="H386" s="25">
        <f>'Fee Receipt (Class-wise)'!K715</f>
        <v>710</v>
      </c>
      <c r="I386" s="23"/>
    </row>
    <row r="387" spans="1:9" ht="14.45" customHeight="1">
      <c r="A387" s="35"/>
      <c r="B387" s="25">
        <v>12</v>
      </c>
      <c r="C387" s="26" t="str">
        <f>IF('Fee Receipt (Class-wise)'!C686="", "", 'Fee Receipt (Class-wise)'!C686)</f>
        <v>DEWORNU MAWULOLO WISDOM</v>
      </c>
      <c r="D387" s="25">
        <f>'Fee Receipt (Class-wise)'!K686</f>
        <v>0</v>
      </c>
      <c r="E387" s="23"/>
      <c r="F387" s="25">
        <v>42</v>
      </c>
      <c r="G387" s="26" t="str">
        <f>IF('Fee Receipt (Class-wise)'!C716="", "", 'Fee Receipt (Class-wise)'!C716)</f>
        <v/>
      </c>
      <c r="H387" s="25">
        <f>'Fee Receipt (Class-wise)'!K716</f>
        <v>710</v>
      </c>
      <c r="I387" s="23"/>
    </row>
    <row r="388" spans="1:9" ht="14.45" customHeight="1">
      <c r="A388" s="35"/>
      <c r="B388" s="25">
        <v>13</v>
      </c>
      <c r="C388" s="26" t="str">
        <f>IF('Fee Receipt (Class-wise)'!C687="", "", 'Fee Receipt (Class-wise)'!C687)</f>
        <v>DUGBENU BLESSING</v>
      </c>
      <c r="D388" s="25">
        <f>'Fee Receipt (Class-wise)'!K687</f>
        <v>310</v>
      </c>
      <c r="E388" s="23"/>
      <c r="F388" s="25">
        <v>43</v>
      </c>
      <c r="G388" s="26" t="str">
        <f>IF('Fee Receipt (Class-wise)'!C717="", "", 'Fee Receipt (Class-wise)'!C717)</f>
        <v/>
      </c>
      <c r="H388" s="25">
        <f>'Fee Receipt (Class-wise)'!K717</f>
        <v>710</v>
      </c>
      <c r="I388" s="23"/>
    </row>
    <row r="389" spans="1:9" ht="14.45" customHeight="1">
      <c r="A389" s="35"/>
      <c r="B389" s="25">
        <v>14</v>
      </c>
      <c r="C389" s="26" t="str">
        <f>IF('Fee Receipt (Class-wise)'!C688="", "", 'Fee Receipt (Class-wise)'!C688)</f>
        <v>FEYI WILLIAM</v>
      </c>
      <c r="D389" s="25">
        <f>'Fee Receipt (Class-wise)'!K688</f>
        <v>0</v>
      </c>
      <c r="E389" s="23"/>
      <c r="F389" s="25">
        <v>44</v>
      </c>
      <c r="G389" s="26" t="str">
        <f>IF('Fee Receipt (Class-wise)'!C718="", "", 'Fee Receipt (Class-wise)'!C718)</f>
        <v/>
      </c>
      <c r="H389" s="25">
        <f>'Fee Receipt (Class-wise)'!K718</f>
        <v>710</v>
      </c>
      <c r="I389" s="23"/>
    </row>
    <row r="390" spans="1:9" ht="14.45" customHeight="1">
      <c r="A390" s="35"/>
      <c r="B390" s="25">
        <v>15</v>
      </c>
      <c r="C390" s="26" t="str">
        <f>IF('Fee Receipt (Class-wise)'!C689="", "", 'Fee Receipt (Class-wise)'!C689)</f>
        <v>GYAIDOO GEORGINA</v>
      </c>
      <c r="D390" s="25">
        <f>'Fee Receipt (Class-wise)'!K689</f>
        <v>0</v>
      </c>
      <c r="E390" s="23"/>
      <c r="F390" s="25">
        <v>45</v>
      </c>
      <c r="G390" s="26" t="str">
        <f>IF('Fee Receipt (Class-wise)'!C719="", "", 'Fee Receipt (Class-wise)'!C719)</f>
        <v/>
      </c>
      <c r="H390" s="25">
        <f>'Fee Receipt (Class-wise)'!K719</f>
        <v>710</v>
      </c>
      <c r="I390" s="23"/>
    </row>
    <row r="391" spans="1:9" ht="14.45" customHeight="1">
      <c r="A391" s="35"/>
      <c r="B391" s="25">
        <v>16</v>
      </c>
      <c r="C391" s="26" t="str">
        <f>IF('Fee Receipt (Class-wise)'!C690="", "", 'Fee Receipt (Class-wise)'!C690)</f>
        <v>KASIM ISMAILA</v>
      </c>
      <c r="D391" s="25">
        <f>'Fee Receipt (Class-wise)'!K690</f>
        <v>210</v>
      </c>
      <c r="E391" s="23"/>
      <c r="F391" s="25">
        <v>46</v>
      </c>
      <c r="G391" s="26" t="str">
        <f>IF('Fee Receipt (Class-wise)'!C720="", "", 'Fee Receipt (Class-wise)'!C720)</f>
        <v/>
      </c>
      <c r="H391" s="25">
        <f>'Fee Receipt (Class-wise)'!K720</f>
        <v>710</v>
      </c>
      <c r="I391" s="23"/>
    </row>
    <row r="392" spans="1:9" ht="14.45" customHeight="1">
      <c r="A392" s="35"/>
      <c r="B392" s="25">
        <v>17</v>
      </c>
      <c r="C392" s="26" t="str">
        <f>IF('Fee Receipt (Class-wise)'!C691="", "", 'Fee Receipt (Class-wise)'!C691)</f>
        <v>KENE BLESS KOFI</v>
      </c>
      <c r="D392" s="25">
        <f>'Fee Receipt (Class-wise)'!K691</f>
        <v>470</v>
      </c>
      <c r="E392" s="23"/>
      <c r="F392" s="25">
        <v>47</v>
      </c>
      <c r="G392" s="26" t="str">
        <f>IF('Fee Receipt (Class-wise)'!C721="", "", 'Fee Receipt (Class-wise)'!C721)</f>
        <v/>
      </c>
      <c r="H392" s="25">
        <f>'Fee Receipt (Class-wise)'!K721</f>
        <v>710</v>
      </c>
      <c r="I392" s="23"/>
    </row>
    <row r="393" spans="1:9" ht="14.45" customHeight="1">
      <c r="A393" s="35"/>
      <c r="B393" s="25">
        <v>18</v>
      </c>
      <c r="C393" s="26" t="str">
        <f>IF('Fee Receipt (Class-wise)'!C692="", "", 'Fee Receipt (Class-wise)'!C692)</f>
        <v>KORLI NARH JONATHAN</v>
      </c>
      <c r="D393" s="25">
        <f>'Fee Receipt (Class-wise)'!K692</f>
        <v>530</v>
      </c>
      <c r="E393" s="23"/>
      <c r="F393" s="25">
        <v>48</v>
      </c>
      <c r="G393" s="26" t="str">
        <f>IF('Fee Receipt (Class-wise)'!C722="", "", 'Fee Receipt (Class-wise)'!C722)</f>
        <v/>
      </c>
      <c r="H393" s="25">
        <f>'Fee Receipt (Class-wise)'!K722</f>
        <v>710</v>
      </c>
      <c r="I393" s="23"/>
    </row>
    <row r="394" spans="1:9" ht="14.45" customHeight="1">
      <c r="A394" s="35"/>
      <c r="B394" s="25">
        <v>19</v>
      </c>
      <c r="C394" s="26" t="str">
        <f>IF('Fee Receipt (Class-wise)'!C693="", "", 'Fee Receipt (Class-wise)'!C693)</f>
        <v>KUELIHO ANTHONY</v>
      </c>
      <c r="D394" s="25">
        <f>'Fee Receipt (Class-wise)'!K693</f>
        <v>210</v>
      </c>
      <c r="E394" s="23"/>
      <c r="F394" s="25">
        <v>49</v>
      </c>
      <c r="G394" s="26" t="str">
        <f>IF('Fee Receipt (Class-wise)'!C723="", "", 'Fee Receipt (Class-wise)'!C723)</f>
        <v/>
      </c>
      <c r="H394" s="25">
        <f>'Fee Receipt (Class-wise)'!K723</f>
        <v>710</v>
      </c>
      <c r="I394" s="23"/>
    </row>
    <row r="395" spans="1:9" ht="14.45" customHeight="1">
      <c r="A395" s="35"/>
      <c r="B395" s="25">
        <v>20</v>
      </c>
      <c r="C395" s="26" t="str">
        <f>IF('Fee Receipt (Class-wise)'!C694="", "", 'Fee Receipt (Class-wise)'!C694)</f>
        <v>KWARTENG PRECIOUS</v>
      </c>
      <c r="D395" s="25">
        <f>'Fee Receipt (Class-wise)'!K694</f>
        <v>10</v>
      </c>
      <c r="E395" s="23"/>
      <c r="F395" s="25">
        <v>50</v>
      </c>
      <c r="G395" s="26" t="str">
        <f>IF('Fee Receipt (Class-wise)'!C724="", "", 'Fee Receipt (Class-wise)'!C724)</f>
        <v/>
      </c>
      <c r="H395" s="25">
        <f>'Fee Receipt (Class-wise)'!K724</f>
        <v>710</v>
      </c>
      <c r="I395" s="23"/>
    </row>
    <row r="396" spans="1:9" ht="14.45" customHeight="1">
      <c r="A396" s="35"/>
      <c r="B396" s="25">
        <v>21</v>
      </c>
      <c r="C396" s="26" t="str">
        <f>IF('Fee Receipt (Class-wise)'!C695="", "", 'Fee Receipt (Class-wise)'!C695)</f>
        <v>MOHAMMED ABDUL AZIZ</v>
      </c>
      <c r="D396" s="25">
        <f>'Fee Receipt (Class-wise)'!K695</f>
        <v>710</v>
      </c>
      <c r="E396" s="23"/>
      <c r="F396" s="25">
        <v>51</v>
      </c>
      <c r="G396" s="26" t="str">
        <f>IF('Fee Receipt (Class-wise)'!C725="", "", 'Fee Receipt (Class-wise)'!C725)</f>
        <v/>
      </c>
      <c r="H396" s="25">
        <f>'Fee Receipt (Class-wise)'!K725</f>
        <v>710</v>
      </c>
      <c r="I396" s="23"/>
    </row>
    <row r="397" spans="1:9" ht="14.45" customHeight="1">
      <c r="A397" s="35"/>
      <c r="B397" s="25">
        <v>22</v>
      </c>
      <c r="C397" s="26" t="str">
        <f>IF('Fee Receipt (Class-wise)'!C696="", "", 'Fee Receipt (Class-wise)'!C696)</f>
        <v>NARTEY KEZIA</v>
      </c>
      <c r="D397" s="25">
        <f>'Fee Receipt (Class-wise)'!K696</f>
        <v>610</v>
      </c>
      <c r="E397" s="23"/>
      <c r="F397" s="25">
        <v>52</v>
      </c>
      <c r="G397" s="26" t="str">
        <f>IF('Fee Receipt (Class-wise)'!C726="", "", 'Fee Receipt (Class-wise)'!C726)</f>
        <v/>
      </c>
      <c r="H397" s="25">
        <f>'Fee Receipt (Class-wise)'!K726</f>
        <v>710</v>
      </c>
      <c r="I397" s="23"/>
    </row>
    <row r="398" spans="1:9" ht="14.45" customHeight="1">
      <c r="A398" s="35"/>
      <c r="B398" s="25">
        <v>23</v>
      </c>
      <c r="C398" s="26" t="str">
        <f>IF('Fee Receipt (Class-wise)'!C697="", "", 'Fee Receipt (Class-wise)'!C697)</f>
        <v>NYARKO RICHMOND</v>
      </c>
      <c r="D398" s="25">
        <f>'Fee Receipt (Class-wise)'!K697</f>
        <v>210</v>
      </c>
      <c r="E398" s="23"/>
      <c r="F398" s="25">
        <v>53</v>
      </c>
      <c r="G398" s="26" t="str">
        <f>IF('Fee Receipt (Class-wise)'!C727="", "", 'Fee Receipt (Class-wise)'!C727)</f>
        <v/>
      </c>
      <c r="H398" s="25">
        <f>'Fee Receipt (Class-wise)'!K727</f>
        <v>710</v>
      </c>
      <c r="I398" s="23"/>
    </row>
    <row r="399" spans="1:9" ht="14.45" customHeight="1">
      <c r="A399" s="35"/>
      <c r="B399" s="25">
        <v>24</v>
      </c>
      <c r="C399" s="26" t="str">
        <f>IF('Fee Receipt (Class-wise)'!C698="", "", 'Fee Receipt (Class-wise)'!C698)</f>
        <v>OFOSU MANUEL</v>
      </c>
      <c r="D399" s="25">
        <f>'Fee Receipt (Class-wise)'!K698</f>
        <v>0</v>
      </c>
      <c r="E399" s="23"/>
      <c r="F399" s="25">
        <v>54</v>
      </c>
      <c r="G399" s="26" t="str">
        <f>IF('Fee Receipt (Class-wise)'!C728="", "", 'Fee Receipt (Class-wise)'!C728)</f>
        <v/>
      </c>
      <c r="H399" s="25">
        <f>'Fee Receipt (Class-wise)'!K728</f>
        <v>710</v>
      </c>
      <c r="I399" s="23"/>
    </row>
    <row r="400" spans="1:9" ht="14.45" customHeight="1">
      <c r="A400" s="35"/>
      <c r="B400" s="25">
        <v>25</v>
      </c>
      <c r="C400" s="26" t="str">
        <f>IF('Fee Receipt (Class-wise)'!C699="", "", 'Fee Receipt (Class-wise)'!C699)</f>
        <v>OGBEY EMMANUEL</v>
      </c>
      <c r="D400" s="25">
        <f>'Fee Receipt (Class-wise)'!K699</f>
        <v>560</v>
      </c>
      <c r="E400" s="23"/>
      <c r="F400" s="25">
        <v>55</v>
      </c>
      <c r="G400" s="26" t="str">
        <f>IF('Fee Receipt (Class-wise)'!C729="", "", 'Fee Receipt (Class-wise)'!C729)</f>
        <v/>
      </c>
      <c r="H400" s="25">
        <f>'Fee Receipt (Class-wise)'!K729</f>
        <v>710</v>
      </c>
      <c r="I400" s="23"/>
    </row>
    <row r="401" spans="1:9" ht="14.45" customHeight="1">
      <c r="A401" s="35"/>
      <c r="B401" s="25">
        <v>26</v>
      </c>
      <c r="C401" s="26" t="str">
        <f>IF('Fee Receipt (Class-wise)'!C700="", "", 'Fee Receipt (Class-wise)'!C700)</f>
        <v>OSMANU ABDULAI</v>
      </c>
      <c r="D401" s="25">
        <f>'Fee Receipt (Class-wise)'!K700</f>
        <v>310</v>
      </c>
      <c r="E401" s="23"/>
      <c r="F401" s="25">
        <v>56</v>
      </c>
      <c r="G401" s="26" t="str">
        <f>IF('Fee Receipt (Class-wise)'!C730="", "", 'Fee Receipt (Class-wise)'!C730)</f>
        <v/>
      </c>
      <c r="H401" s="25">
        <f>'Fee Receipt (Class-wise)'!K730</f>
        <v>710</v>
      </c>
      <c r="I401" s="23"/>
    </row>
    <row r="402" spans="1:9" ht="14.45" customHeight="1">
      <c r="A402" s="35"/>
      <c r="B402" s="25">
        <v>27</v>
      </c>
      <c r="C402" s="26" t="str">
        <f>IF('Fee Receipt (Class-wise)'!C701="", "", 'Fee Receipt (Class-wise)'!C701)</f>
        <v>OWUSU PEPRAH ISAAC</v>
      </c>
      <c r="D402" s="25">
        <f>'Fee Receipt (Class-wise)'!K701</f>
        <v>310</v>
      </c>
      <c r="E402" s="23"/>
      <c r="F402" s="25">
        <v>57</v>
      </c>
      <c r="G402" s="26" t="str">
        <f>IF('Fee Receipt (Class-wise)'!C731="", "", 'Fee Receipt (Class-wise)'!C731)</f>
        <v/>
      </c>
      <c r="H402" s="25">
        <f>'Fee Receipt (Class-wise)'!K731</f>
        <v>710</v>
      </c>
      <c r="I402" s="23"/>
    </row>
    <row r="403" spans="1:9" ht="14.45" customHeight="1">
      <c r="A403" s="35"/>
      <c r="B403" s="25">
        <v>28</v>
      </c>
      <c r="C403" s="26" t="str">
        <f>IF('Fee Receipt (Class-wise)'!C702="", "", 'Fee Receipt (Class-wise)'!C702)</f>
        <v>WIAFI OSEI CHARLES</v>
      </c>
      <c r="D403" s="25">
        <f>'Fee Receipt (Class-wise)'!K702</f>
        <v>310</v>
      </c>
      <c r="E403" s="23"/>
      <c r="F403" s="25">
        <v>58</v>
      </c>
      <c r="G403" s="26" t="str">
        <f>IF('Fee Receipt (Class-wise)'!C732="", "", 'Fee Receipt (Class-wise)'!C732)</f>
        <v/>
      </c>
      <c r="H403" s="25">
        <f>'Fee Receipt (Class-wise)'!K732</f>
        <v>710</v>
      </c>
      <c r="I403" s="23"/>
    </row>
    <row r="404" spans="1:9" ht="14.45" customHeight="1">
      <c r="A404" s="35"/>
      <c r="B404" s="25">
        <v>29</v>
      </c>
      <c r="C404" s="26" t="str">
        <f>IF('Fee Receipt (Class-wise)'!C703="", "", 'Fee Receipt (Class-wise)'!C703)</f>
        <v>WILLIAM JERRY</v>
      </c>
      <c r="D404" s="25">
        <f>'Fee Receipt (Class-wise)'!K703</f>
        <v>510</v>
      </c>
      <c r="E404" s="23"/>
      <c r="F404" s="25">
        <v>59</v>
      </c>
      <c r="G404" s="26" t="str">
        <f>IF('Fee Receipt (Class-wise)'!C733="", "", 'Fee Receipt (Class-wise)'!C733)</f>
        <v/>
      </c>
      <c r="H404" s="25">
        <f>'Fee Receipt (Class-wise)'!K733</f>
        <v>710</v>
      </c>
      <c r="I404" s="23"/>
    </row>
    <row r="405" spans="1:9" ht="14.45" customHeight="1">
      <c r="A405" s="35"/>
      <c r="B405" s="25">
        <v>30</v>
      </c>
      <c r="C405" s="26" t="str">
        <f>IF('Fee Receipt (Class-wise)'!C704="", "", 'Fee Receipt (Class-wise)'!C704)</f>
        <v>MOHAMMED AMIRA</v>
      </c>
      <c r="D405" s="25">
        <f>'Fee Receipt (Class-wise)'!K704</f>
        <v>0</v>
      </c>
      <c r="E405" s="23"/>
      <c r="F405" s="25">
        <v>60</v>
      </c>
      <c r="G405" s="26" t="str">
        <f>IF('Fee Receipt (Class-wise)'!C734="", "", 'Fee Receipt (Class-wise)'!C734)</f>
        <v/>
      </c>
      <c r="H405" s="25">
        <f>'Fee Receipt (Class-wise)'!K734</f>
        <v>710</v>
      </c>
      <c r="I405" s="23"/>
    </row>
    <row r="406" spans="1:9" ht="14.45" customHeight="1">
      <c r="A406" s="35"/>
      <c r="B406" s="25"/>
      <c r="C406" s="23"/>
      <c r="D406" s="23"/>
      <c r="E406" s="23"/>
      <c r="F406" s="33" t="s">
        <v>31</v>
      </c>
      <c r="G406" s="33"/>
      <c r="H406" s="24">
        <f>SUM(D376:D405)+SUM(H376:H405)</f>
        <v>28590</v>
      </c>
      <c r="I406" s="23"/>
    </row>
    <row r="407" spans="1:9" ht="14.45" customHeight="1">
      <c r="B407" s="23"/>
      <c r="C407" s="23"/>
      <c r="D407" s="23"/>
      <c r="E407" s="23"/>
      <c r="F407" s="23"/>
      <c r="G407" s="23"/>
      <c r="H407" s="23"/>
      <c r="I407" s="23"/>
    </row>
    <row r="408" spans="1:9" ht="14.45" customHeight="1">
      <c r="B408" s="23"/>
      <c r="C408" s="23"/>
      <c r="D408" s="23"/>
      <c r="E408" s="23"/>
      <c r="F408" s="23"/>
      <c r="G408" s="23"/>
      <c r="H408" s="23"/>
      <c r="I408" s="23"/>
    </row>
    <row r="409" spans="1:9" ht="14.45" customHeight="1">
      <c r="A409" s="49">
        <v>12</v>
      </c>
      <c r="B409" s="35" t="s">
        <v>33</v>
      </c>
      <c r="C409" s="35"/>
      <c r="D409" s="35"/>
      <c r="E409" s="35"/>
      <c r="F409" s="35"/>
      <c r="G409" s="35"/>
      <c r="H409" s="24" t="s">
        <v>36</v>
      </c>
      <c r="I409" s="23"/>
    </row>
    <row r="410" spans="1:9" ht="14.45" customHeight="1">
      <c r="A410" s="49"/>
      <c r="B410" s="23" t="s">
        <v>35</v>
      </c>
      <c r="C410" s="50" t="str">
        <f>IF('Fee Receipt (Class-wise)'!C739="", "", 'Fee Receipt (Class-wise)'!C739)</f>
        <v>BASIC 4A</v>
      </c>
      <c r="D410" s="50"/>
      <c r="E410" s="23"/>
      <c r="F410" s="23"/>
      <c r="G410" s="23"/>
      <c r="H410" s="49">
        <f>IF(C410="", "", H443)</f>
        <v>34940</v>
      </c>
      <c r="I410" s="23"/>
    </row>
    <row r="411" spans="1:9" ht="14.45" customHeight="1">
      <c r="A411" s="49"/>
      <c r="B411" s="23" t="s">
        <v>34</v>
      </c>
      <c r="C411" s="50" t="str">
        <f>IF(C410="", "", 'Fee Receipt (Class-wise)'!$H$2)</f>
        <v>2025-26</v>
      </c>
      <c r="D411" s="50"/>
      <c r="E411" s="23"/>
      <c r="F411" s="23"/>
      <c r="G411" s="23"/>
      <c r="H411" s="49"/>
      <c r="I411" s="23"/>
    </row>
    <row r="412" spans="1:9" ht="14.45" customHeight="1">
      <c r="A412" s="35"/>
      <c r="B412" s="25" t="s">
        <v>1</v>
      </c>
      <c r="C412" s="25" t="s">
        <v>2</v>
      </c>
      <c r="D412" s="25" t="s">
        <v>9</v>
      </c>
      <c r="E412" s="23"/>
      <c r="F412" s="25" t="s">
        <v>1</v>
      </c>
      <c r="G412" s="25" t="s">
        <v>2</v>
      </c>
      <c r="H412" s="25" t="s">
        <v>9</v>
      </c>
      <c r="I412" s="23"/>
    </row>
    <row r="413" spans="1:9" ht="14.45" customHeight="1">
      <c r="A413" s="35"/>
      <c r="B413" s="25">
        <v>1</v>
      </c>
      <c r="C413" s="26" t="str">
        <f>IF('Fee Receipt (Class-wise)'!C742="", "", 'Fee Receipt (Class-wise)'!C742)</f>
        <v>ADADE ALFRED</v>
      </c>
      <c r="D413" s="25">
        <f>'Fee Receipt (Class-wise)'!K742</f>
        <v>700</v>
      </c>
      <c r="E413" s="23"/>
      <c r="F413" s="25">
        <v>31</v>
      </c>
      <c r="G413" s="26" t="str">
        <f>IF('Fee Receipt (Class-wise)'!C772="", "", 'Fee Receipt (Class-wise)'!C772)</f>
        <v/>
      </c>
      <c r="H413" s="25">
        <f>'Fee Receipt (Class-wise)'!K772</f>
        <v>760</v>
      </c>
      <c r="I413" s="23"/>
    </row>
    <row r="414" spans="1:9" ht="14.45" customHeight="1">
      <c r="A414" s="35"/>
      <c r="B414" s="25">
        <v>2</v>
      </c>
      <c r="C414" s="26" t="str">
        <f>IF('Fee Receipt (Class-wise)'!C743="", "", 'Fee Receipt (Class-wise)'!C743)</f>
        <v>ADDO BETTY</v>
      </c>
      <c r="D414" s="25">
        <f>'Fee Receipt (Class-wise)'!K743</f>
        <v>360</v>
      </c>
      <c r="E414" s="23"/>
      <c r="F414" s="25">
        <v>32</v>
      </c>
      <c r="G414" s="26" t="str">
        <f>IF('Fee Receipt (Class-wise)'!C773="", "", 'Fee Receipt (Class-wise)'!C773)</f>
        <v/>
      </c>
      <c r="H414" s="25">
        <f>'Fee Receipt (Class-wise)'!K773</f>
        <v>760</v>
      </c>
      <c r="I414" s="23"/>
    </row>
    <row r="415" spans="1:9" ht="14.45" customHeight="1">
      <c r="A415" s="35"/>
      <c r="B415" s="25">
        <v>3</v>
      </c>
      <c r="C415" s="26" t="str">
        <f>IF('Fee Receipt (Class-wise)'!C744="", "", 'Fee Receipt (Class-wise)'!C744)</f>
        <v>ADU KUMI JOHNSON</v>
      </c>
      <c r="D415" s="25">
        <f>'Fee Receipt (Class-wise)'!K744</f>
        <v>760</v>
      </c>
      <c r="E415" s="23"/>
      <c r="F415" s="25">
        <v>33</v>
      </c>
      <c r="G415" s="26" t="str">
        <f>IF('Fee Receipt (Class-wise)'!C774="", "", 'Fee Receipt (Class-wise)'!C774)</f>
        <v/>
      </c>
      <c r="H415" s="25">
        <f>'Fee Receipt (Class-wise)'!K774</f>
        <v>760</v>
      </c>
      <c r="I415" s="23"/>
    </row>
    <row r="416" spans="1:9" ht="14.45" customHeight="1">
      <c r="A416" s="35"/>
      <c r="B416" s="25">
        <v>4</v>
      </c>
      <c r="C416" s="26" t="str">
        <f>IF('Fee Receipt (Class-wise)'!C745="", "", 'Fee Receipt (Class-wise)'!C745)</f>
        <v>AFRAM JOSEPH</v>
      </c>
      <c r="D416" s="25">
        <f>'Fee Receipt (Class-wise)'!K745</f>
        <v>420</v>
      </c>
      <c r="E416" s="23"/>
      <c r="F416" s="25">
        <v>34</v>
      </c>
      <c r="G416" s="26" t="str">
        <f>IF('Fee Receipt (Class-wise)'!C775="", "", 'Fee Receipt (Class-wise)'!C775)</f>
        <v/>
      </c>
      <c r="H416" s="25">
        <f>'Fee Receipt (Class-wise)'!K775</f>
        <v>760</v>
      </c>
      <c r="I416" s="23"/>
    </row>
    <row r="417" spans="1:9" ht="14.45" customHeight="1">
      <c r="A417" s="35"/>
      <c r="B417" s="25">
        <v>5</v>
      </c>
      <c r="C417" s="26" t="str">
        <f>IF('Fee Receipt (Class-wise)'!C746="", "", 'Fee Receipt (Class-wise)'!C746)</f>
        <v>AGBADI EMMANUEL</v>
      </c>
      <c r="D417" s="25">
        <f>'Fee Receipt (Class-wise)'!K746</f>
        <v>260</v>
      </c>
      <c r="E417" s="23"/>
      <c r="F417" s="25">
        <v>35</v>
      </c>
      <c r="G417" s="26" t="str">
        <f>IF('Fee Receipt (Class-wise)'!C776="", "", 'Fee Receipt (Class-wise)'!C776)</f>
        <v/>
      </c>
      <c r="H417" s="25">
        <f>'Fee Receipt (Class-wise)'!K776</f>
        <v>760</v>
      </c>
      <c r="I417" s="23"/>
    </row>
    <row r="418" spans="1:9" ht="14.45" customHeight="1">
      <c r="A418" s="35"/>
      <c r="B418" s="25">
        <v>6</v>
      </c>
      <c r="C418" s="26" t="str">
        <f>IF('Fee Receipt (Class-wise)'!C747="", "", 'Fee Receipt (Class-wise)'!C747)</f>
        <v>AGUMENU AVANAM</v>
      </c>
      <c r="D418" s="25">
        <f>'Fee Receipt (Class-wise)'!K747</f>
        <v>760</v>
      </c>
      <c r="E418" s="23"/>
      <c r="F418" s="25">
        <v>36</v>
      </c>
      <c r="G418" s="26" t="str">
        <f>IF('Fee Receipt (Class-wise)'!C777="", "", 'Fee Receipt (Class-wise)'!C777)</f>
        <v/>
      </c>
      <c r="H418" s="25">
        <f>'Fee Receipt (Class-wise)'!K777</f>
        <v>760</v>
      </c>
      <c r="I418" s="23"/>
    </row>
    <row r="419" spans="1:9" ht="14.45" customHeight="1">
      <c r="A419" s="35"/>
      <c r="B419" s="25">
        <v>7</v>
      </c>
      <c r="C419" s="26" t="str">
        <f>IF('Fee Receipt (Class-wise)'!C748="", "", 'Fee Receipt (Class-wise)'!C748)</f>
        <v>AKYEREMA EUGENIA</v>
      </c>
      <c r="D419" s="25">
        <f>'Fee Receipt (Class-wise)'!K748</f>
        <v>210</v>
      </c>
      <c r="E419" s="23"/>
      <c r="F419" s="25">
        <v>37</v>
      </c>
      <c r="G419" s="26" t="str">
        <f>IF('Fee Receipt (Class-wise)'!C778="", "", 'Fee Receipt (Class-wise)'!C778)</f>
        <v/>
      </c>
      <c r="H419" s="25">
        <f>'Fee Receipt (Class-wise)'!K778</f>
        <v>760</v>
      </c>
      <c r="I419" s="23"/>
    </row>
    <row r="420" spans="1:9" ht="14.45" customHeight="1">
      <c r="A420" s="35"/>
      <c r="B420" s="25">
        <v>8</v>
      </c>
      <c r="C420" s="26" t="str">
        <f>IF('Fee Receipt (Class-wise)'!C749="", "", 'Fee Receipt (Class-wise)'!C749)</f>
        <v>AMLALO SHIRLEY</v>
      </c>
      <c r="D420" s="25">
        <f>'Fee Receipt (Class-wise)'!K749</f>
        <v>0</v>
      </c>
      <c r="E420" s="23"/>
      <c r="F420" s="25">
        <v>38</v>
      </c>
      <c r="G420" s="26" t="str">
        <f>IF('Fee Receipt (Class-wise)'!C779="", "", 'Fee Receipt (Class-wise)'!C779)</f>
        <v/>
      </c>
      <c r="H420" s="25">
        <f>'Fee Receipt (Class-wise)'!K779</f>
        <v>760</v>
      </c>
      <c r="I420" s="23"/>
    </row>
    <row r="421" spans="1:9" ht="14.45" customHeight="1">
      <c r="A421" s="35"/>
      <c r="B421" s="25">
        <v>9</v>
      </c>
      <c r="C421" s="26" t="str">
        <f>IF('Fee Receipt (Class-wise)'!C750="", "", 'Fee Receipt (Class-wise)'!C750)</f>
        <v>ASAAH TABITHA</v>
      </c>
      <c r="D421" s="25">
        <f>'Fee Receipt (Class-wise)'!K750</f>
        <v>210</v>
      </c>
      <c r="E421" s="23"/>
      <c r="F421" s="25">
        <v>39</v>
      </c>
      <c r="G421" s="26" t="str">
        <f>IF('Fee Receipt (Class-wise)'!C780="", "", 'Fee Receipt (Class-wise)'!C780)</f>
        <v/>
      </c>
      <c r="H421" s="25">
        <f>'Fee Receipt (Class-wise)'!K780</f>
        <v>760</v>
      </c>
      <c r="I421" s="23"/>
    </row>
    <row r="422" spans="1:9" ht="14.45" customHeight="1">
      <c r="A422" s="35"/>
      <c r="B422" s="25">
        <v>10</v>
      </c>
      <c r="C422" s="26" t="str">
        <f>IF('Fee Receipt (Class-wise)'!C751="", "", 'Fee Receipt (Class-wise)'!C751)</f>
        <v>ATAMBO MALSOMSOP</v>
      </c>
      <c r="D422" s="25">
        <f>'Fee Receipt (Class-wise)'!K751</f>
        <v>360</v>
      </c>
      <c r="E422" s="23"/>
      <c r="F422" s="25">
        <v>40</v>
      </c>
      <c r="G422" s="26" t="str">
        <f>IF('Fee Receipt (Class-wise)'!C781="", "", 'Fee Receipt (Class-wise)'!C781)</f>
        <v/>
      </c>
      <c r="H422" s="25">
        <f>'Fee Receipt (Class-wise)'!K781</f>
        <v>760</v>
      </c>
      <c r="I422" s="23"/>
    </row>
    <row r="423" spans="1:9" ht="14.45" customHeight="1">
      <c r="A423" s="35"/>
      <c r="B423" s="25">
        <v>11</v>
      </c>
      <c r="C423" s="26" t="str">
        <f>IF('Fee Receipt (Class-wise)'!C752="", "", 'Fee Receipt (Class-wise)'!C752)</f>
        <v>BOATENG ERIC</v>
      </c>
      <c r="D423" s="25">
        <f>'Fee Receipt (Class-wise)'!K752</f>
        <v>260</v>
      </c>
      <c r="E423" s="23"/>
      <c r="F423" s="25">
        <v>41</v>
      </c>
      <c r="G423" s="26" t="str">
        <f>IF('Fee Receipt (Class-wise)'!C782="", "", 'Fee Receipt (Class-wise)'!C782)</f>
        <v/>
      </c>
      <c r="H423" s="25">
        <f>'Fee Receipt (Class-wise)'!K782</f>
        <v>760</v>
      </c>
      <c r="I423" s="23"/>
    </row>
    <row r="424" spans="1:9" ht="14.45" customHeight="1">
      <c r="A424" s="35"/>
      <c r="B424" s="25">
        <v>12</v>
      </c>
      <c r="C424" s="26" t="str">
        <f>IF('Fee Receipt (Class-wise)'!C753="", "", 'Fee Receipt (Class-wise)'!C753)</f>
        <v>DZOKOTO KENNEDY</v>
      </c>
      <c r="D424" s="25">
        <f>'Fee Receipt (Class-wise)'!K753</f>
        <v>0</v>
      </c>
      <c r="E424" s="23"/>
      <c r="F424" s="25">
        <v>42</v>
      </c>
      <c r="G424" s="26" t="str">
        <f>IF('Fee Receipt (Class-wise)'!C783="", "", 'Fee Receipt (Class-wise)'!C783)</f>
        <v/>
      </c>
      <c r="H424" s="25">
        <f>'Fee Receipt (Class-wise)'!K783</f>
        <v>760</v>
      </c>
      <c r="I424" s="23"/>
    </row>
    <row r="425" spans="1:9" ht="14.45" customHeight="1">
      <c r="A425" s="35"/>
      <c r="B425" s="25">
        <v>13</v>
      </c>
      <c r="C425" s="26" t="str">
        <f>IF('Fee Receipt (Class-wise)'!C754="", "", 'Fee Receipt (Class-wise)'!C754)</f>
        <v>DZUDZOR ELIZABETH</v>
      </c>
      <c r="D425" s="25">
        <f>'Fee Receipt (Class-wise)'!K754</f>
        <v>260</v>
      </c>
      <c r="E425" s="23"/>
      <c r="F425" s="25">
        <v>43</v>
      </c>
      <c r="G425" s="26" t="str">
        <f>IF('Fee Receipt (Class-wise)'!C784="", "", 'Fee Receipt (Class-wise)'!C784)</f>
        <v/>
      </c>
      <c r="H425" s="25">
        <f>'Fee Receipt (Class-wise)'!K784</f>
        <v>760</v>
      </c>
      <c r="I425" s="23"/>
    </row>
    <row r="426" spans="1:9" ht="14.45" customHeight="1">
      <c r="A426" s="35"/>
      <c r="B426" s="25">
        <v>14</v>
      </c>
      <c r="C426" s="26" t="str">
        <f>IF('Fee Receipt (Class-wise)'!C755="", "", 'Fee Receipt (Class-wise)'!C755)</f>
        <v>EXE KING CHARES</v>
      </c>
      <c r="D426" s="25">
        <f>'Fee Receipt (Class-wise)'!K755</f>
        <v>0</v>
      </c>
      <c r="E426" s="23"/>
      <c r="F426" s="25">
        <v>44</v>
      </c>
      <c r="G426" s="26" t="str">
        <f>IF('Fee Receipt (Class-wise)'!C785="", "", 'Fee Receipt (Class-wise)'!C785)</f>
        <v/>
      </c>
      <c r="H426" s="25">
        <f>'Fee Receipt (Class-wise)'!K785</f>
        <v>760</v>
      </c>
      <c r="I426" s="23"/>
    </row>
    <row r="427" spans="1:9" ht="14.45" customHeight="1">
      <c r="A427" s="35"/>
      <c r="B427" s="25">
        <v>15</v>
      </c>
      <c r="C427" s="26" t="str">
        <f>IF('Fee Receipt (Class-wise)'!C756="", "", 'Fee Receipt (Class-wise)'!C756)</f>
        <v>GBAFA MERCY</v>
      </c>
      <c r="D427" s="25">
        <f>'Fee Receipt (Class-wise)'!K756</f>
        <v>560</v>
      </c>
      <c r="E427" s="23"/>
      <c r="F427" s="25">
        <v>45</v>
      </c>
      <c r="G427" s="26" t="str">
        <f>IF('Fee Receipt (Class-wise)'!C786="", "", 'Fee Receipt (Class-wise)'!C786)</f>
        <v/>
      </c>
      <c r="H427" s="25">
        <f>'Fee Receipt (Class-wise)'!K786</f>
        <v>760</v>
      </c>
      <c r="I427" s="23"/>
    </row>
    <row r="428" spans="1:9" ht="14.45" customHeight="1">
      <c r="A428" s="35"/>
      <c r="B428" s="25">
        <v>16</v>
      </c>
      <c r="C428" s="26" t="str">
        <f>IF('Fee Receipt (Class-wise)'!C757="", "", 'Fee Receipt (Class-wise)'!C757)</f>
        <v>HARUNA BASIT</v>
      </c>
      <c r="D428" s="25">
        <f>'Fee Receipt (Class-wise)'!K757</f>
        <v>610</v>
      </c>
      <c r="E428" s="23"/>
      <c r="F428" s="25">
        <v>46</v>
      </c>
      <c r="G428" s="26" t="str">
        <f>IF('Fee Receipt (Class-wise)'!C787="", "", 'Fee Receipt (Class-wise)'!C787)</f>
        <v/>
      </c>
      <c r="H428" s="25">
        <f>'Fee Receipt (Class-wise)'!K787</f>
        <v>760</v>
      </c>
      <c r="I428" s="23"/>
    </row>
    <row r="429" spans="1:9" ht="14.45" customHeight="1">
      <c r="A429" s="35"/>
      <c r="B429" s="25">
        <v>17</v>
      </c>
      <c r="C429" s="26" t="str">
        <f>IF('Fee Receipt (Class-wise)'!C758="", "", 'Fee Receipt (Class-wise)'!C758)</f>
        <v>ISMAILA SALIMA</v>
      </c>
      <c r="D429" s="25">
        <f>'Fee Receipt (Class-wise)'!K758</f>
        <v>260</v>
      </c>
      <c r="E429" s="23"/>
      <c r="F429" s="25">
        <v>47</v>
      </c>
      <c r="G429" s="26" t="str">
        <f>IF('Fee Receipt (Class-wise)'!C788="", "", 'Fee Receipt (Class-wise)'!C788)</f>
        <v/>
      </c>
      <c r="H429" s="25">
        <f>'Fee Receipt (Class-wise)'!K788</f>
        <v>760</v>
      </c>
      <c r="I429" s="23"/>
    </row>
    <row r="430" spans="1:9" ht="14.45" customHeight="1">
      <c r="A430" s="35"/>
      <c r="B430" s="25">
        <v>18</v>
      </c>
      <c r="C430" s="26" t="str">
        <f>IF('Fee Receipt (Class-wise)'!C759="", "", 'Fee Receipt (Class-wise)'!C759)</f>
        <v>KITSIPUI RAMONA</v>
      </c>
      <c r="D430" s="25">
        <f>'Fee Receipt (Class-wise)'!K759</f>
        <v>510</v>
      </c>
      <c r="E430" s="23"/>
      <c r="F430" s="25">
        <v>48</v>
      </c>
      <c r="G430" s="26" t="str">
        <f>IF('Fee Receipt (Class-wise)'!C789="", "", 'Fee Receipt (Class-wise)'!C789)</f>
        <v/>
      </c>
      <c r="H430" s="25">
        <f>'Fee Receipt (Class-wise)'!K789</f>
        <v>760</v>
      </c>
      <c r="I430" s="23"/>
    </row>
    <row r="431" spans="1:9" ht="14.45" customHeight="1">
      <c r="A431" s="35"/>
      <c r="B431" s="25">
        <v>19</v>
      </c>
      <c r="C431" s="26" t="str">
        <f>IF('Fee Receipt (Class-wise)'!C760="", "", 'Fee Receipt (Class-wise)'!C760)</f>
        <v>MAHAMUD MATEEN</v>
      </c>
      <c r="D431" s="25">
        <f>'Fee Receipt (Class-wise)'!K760</f>
        <v>0</v>
      </c>
      <c r="E431" s="23"/>
      <c r="F431" s="25">
        <v>49</v>
      </c>
      <c r="G431" s="26" t="str">
        <f>IF('Fee Receipt (Class-wise)'!C790="", "", 'Fee Receipt (Class-wise)'!C790)</f>
        <v/>
      </c>
      <c r="H431" s="25">
        <f>'Fee Receipt (Class-wise)'!K790</f>
        <v>760</v>
      </c>
      <c r="I431" s="23"/>
    </row>
    <row r="432" spans="1:9" ht="14.45" customHeight="1">
      <c r="A432" s="35"/>
      <c r="B432" s="25">
        <v>20</v>
      </c>
      <c r="C432" s="26" t="str">
        <f>IF('Fee Receipt (Class-wise)'!C761="", "", 'Fee Receipt (Class-wise)'!C761)</f>
        <v>NAZIRU AHMED</v>
      </c>
      <c r="D432" s="25">
        <f>'Fee Receipt (Class-wise)'!K761</f>
        <v>0</v>
      </c>
      <c r="E432" s="23"/>
      <c r="F432" s="25">
        <v>50</v>
      </c>
      <c r="G432" s="26" t="str">
        <f>IF('Fee Receipt (Class-wise)'!C791="", "", 'Fee Receipt (Class-wise)'!C791)</f>
        <v/>
      </c>
      <c r="H432" s="25">
        <f>'Fee Receipt (Class-wise)'!K791</f>
        <v>760</v>
      </c>
      <c r="I432" s="23"/>
    </row>
    <row r="433" spans="1:9" ht="14.45" customHeight="1">
      <c r="A433" s="35"/>
      <c r="B433" s="25">
        <v>21</v>
      </c>
      <c r="C433" s="26" t="str">
        <f>IF('Fee Receipt (Class-wise)'!C762="", "", 'Fee Receipt (Class-wise)'!C762)</f>
        <v>OSEI BONSU BALICIA</v>
      </c>
      <c r="D433" s="25">
        <f>'Fee Receipt (Class-wise)'!K762</f>
        <v>260</v>
      </c>
      <c r="E433" s="23"/>
      <c r="F433" s="25">
        <v>51</v>
      </c>
      <c r="G433" s="26" t="str">
        <f>IF('Fee Receipt (Class-wise)'!C792="", "", 'Fee Receipt (Class-wise)'!C792)</f>
        <v/>
      </c>
      <c r="H433" s="25">
        <f>'Fee Receipt (Class-wise)'!K792</f>
        <v>760</v>
      </c>
      <c r="I433" s="23"/>
    </row>
    <row r="434" spans="1:9" ht="14.45" customHeight="1">
      <c r="A434" s="35"/>
      <c r="B434" s="25">
        <v>22</v>
      </c>
      <c r="C434" s="26" t="str">
        <f>IF('Fee Receipt (Class-wise)'!C763="", "", 'Fee Receipt (Class-wise)'!C763)</f>
        <v>OTOO ISAIAH</v>
      </c>
      <c r="D434" s="25">
        <f>'Fee Receipt (Class-wise)'!K763</f>
        <v>0</v>
      </c>
      <c r="E434" s="23"/>
      <c r="F434" s="25">
        <v>52</v>
      </c>
      <c r="G434" s="26" t="str">
        <f>IF('Fee Receipt (Class-wise)'!C793="", "", 'Fee Receipt (Class-wise)'!C793)</f>
        <v/>
      </c>
      <c r="H434" s="25">
        <f>'Fee Receipt (Class-wise)'!K793</f>
        <v>760</v>
      </c>
      <c r="I434" s="23"/>
    </row>
    <row r="435" spans="1:9" ht="14.45" customHeight="1">
      <c r="A435" s="35"/>
      <c r="B435" s="25">
        <v>23</v>
      </c>
      <c r="C435" s="26" t="str">
        <f>IF('Fee Receipt (Class-wise)'!C764="", "", 'Fee Receipt (Class-wise)'!C764)</f>
        <v>SACKEY ANITA</v>
      </c>
      <c r="D435" s="25">
        <f>'Fee Receipt (Class-wise)'!K764</f>
        <v>460</v>
      </c>
      <c r="E435" s="23"/>
      <c r="F435" s="25">
        <v>53</v>
      </c>
      <c r="G435" s="26" t="str">
        <f>IF('Fee Receipt (Class-wise)'!C794="", "", 'Fee Receipt (Class-wise)'!C794)</f>
        <v/>
      </c>
      <c r="H435" s="25">
        <f>'Fee Receipt (Class-wise)'!K794</f>
        <v>760</v>
      </c>
      <c r="I435" s="23"/>
    </row>
    <row r="436" spans="1:9" ht="14.45" customHeight="1">
      <c r="A436" s="35"/>
      <c r="B436" s="25">
        <v>24</v>
      </c>
      <c r="C436" s="26" t="str">
        <f>IF('Fee Receipt (Class-wise)'!C765="", "", 'Fee Receipt (Class-wise)'!C765)</f>
        <v>KWOFIE NANA ABA</v>
      </c>
      <c r="D436" s="25">
        <f>'Fee Receipt (Class-wise)'!K765</f>
        <v>360</v>
      </c>
      <c r="E436" s="23"/>
      <c r="F436" s="25">
        <v>54</v>
      </c>
      <c r="G436" s="26" t="str">
        <f>IF('Fee Receipt (Class-wise)'!C795="", "", 'Fee Receipt (Class-wise)'!C795)</f>
        <v/>
      </c>
      <c r="H436" s="25">
        <f>'Fee Receipt (Class-wise)'!K795</f>
        <v>760</v>
      </c>
      <c r="I436" s="23"/>
    </row>
    <row r="437" spans="1:9" ht="14.45" customHeight="1">
      <c r="A437" s="35"/>
      <c r="B437" s="25">
        <v>25</v>
      </c>
      <c r="C437" s="26" t="str">
        <f>IF('Fee Receipt (Class-wise)'!C766="", "", 'Fee Receipt (Class-wise)'!C766)</f>
        <v/>
      </c>
      <c r="D437" s="25">
        <f>'Fee Receipt (Class-wise)'!K766</f>
        <v>760</v>
      </c>
      <c r="E437" s="23"/>
      <c r="F437" s="25">
        <v>55</v>
      </c>
      <c r="G437" s="26" t="str">
        <f>IF('Fee Receipt (Class-wise)'!C796="", "", 'Fee Receipt (Class-wise)'!C796)</f>
        <v/>
      </c>
      <c r="H437" s="25">
        <f>'Fee Receipt (Class-wise)'!K796</f>
        <v>760</v>
      </c>
      <c r="I437" s="23"/>
    </row>
    <row r="438" spans="1:9" ht="14.45" customHeight="1">
      <c r="A438" s="35"/>
      <c r="B438" s="25">
        <v>26</v>
      </c>
      <c r="C438" s="26" t="str">
        <f>IF('Fee Receipt (Class-wise)'!C767="", "", 'Fee Receipt (Class-wise)'!C767)</f>
        <v/>
      </c>
      <c r="D438" s="25">
        <f>'Fee Receipt (Class-wise)'!K767</f>
        <v>760</v>
      </c>
      <c r="E438" s="23"/>
      <c r="F438" s="25">
        <v>56</v>
      </c>
      <c r="G438" s="26" t="str">
        <f>IF('Fee Receipt (Class-wise)'!C797="", "", 'Fee Receipt (Class-wise)'!C797)</f>
        <v/>
      </c>
      <c r="H438" s="25">
        <f>'Fee Receipt (Class-wise)'!K797</f>
        <v>760</v>
      </c>
      <c r="I438" s="23"/>
    </row>
    <row r="439" spans="1:9" ht="14.45" customHeight="1">
      <c r="A439" s="35"/>
      <c r="B439" s="25">
        <v>27</v>
      </c>
      <c r="C439" s="26" t="str">
        <f>IF('Fee Receipt (Class-wise)'!C768="", "", 'Fee Receipt (Class-wise)'!C768)</f>
        <v/>
      </c>
      <c r="D439" s="25">
        <f>'Fee Receipt (Class-wise)'!K768</f>
        <v>760</v>
      </c>
      <c r="E439" s="23"/>
      <c r="F439" s="25">
        <v>57</v>
      </c>
      <c r="G439" s="26" t="str">
        <f>IF('Fee Receipt (Class-wise)'!C798="", "", 'Fee Receipt (Class-wise)'!C798)</f>
        <v/>
      </c>
      <c r="H439" s="25">
        <f>'Fee Receipt (Class-wise)'!K798</f>
        <v>760</v>
      </c>
      <c r="I439" s="23"/>
    </row>
    <row r="440" spans="1:9" ht="14.45" customHeight="1">
      <c r="A440" s="35"/>
      <c r="B440" s="25">
        <v>28</v>
      </c>
      <c r="C440" s="26" t="str">
        <f>IF('Fee Receipt (Class-wise)'!C769="", "", 'Fee Receipt (Class-wise)'!C769)</f>
        <v/>
      </c>
      <c r="D440" s="25">
        <f>'Fee Receipt (Class-wise)'!K769</f>
        <v>760</v>
      </c>
      <c r="E440" s="23"/>
      <c r="F440" s="25">
        <v>58</v>
      </c>
      <c r="G440" s="26" t="str">
        <f>IF('Fee Receipt (Class-wise)'!C799="", "", 'Fee Receipt (Class-wise)'!C799)</f>
        <v/>
      </c>
      <c r="H440" s="25">
        <f>'Fee Receipt (Class-wise)'!K799</f>
        <v>760</v>
      </c>
      <c r="I440" s="23"/>
    </row>
    <row r="441" spans="1:9" ht="14.45" customHeight="1">
      <c r="A441" s="35"/>
      <c r="B441" s="25">
        <v>29</v>
      </c>
      <c r="C441" s="26" t="str">
        <f>IF('Fee Receipt (Class-wise)'!C770="", "", 'Fee Receipt (Class-wise)'!C770)</f>
        <v/>
      </c>
      <c r="D441" s="25">
        <f>'Fee Receipt (Class-wise)'!K770</f>
        <v>760</v>
      </c>
      <c r="E441" s="23"/>
      <c r="F441" s="25">
        <v>59</v>
      </c>
      <c r="G441" s="26" t="str">
        <f>IF('Fee Receipt (Class-wise)'!C800="", "", 'Fee Receipt (Class-wise)'!C800)</f>
        <v/>
      </c>
      <c r="H441" s="25">
        <f>'Fee Receipt (Class-wise)'!K800</f>
        <v>760</v>
      </c>
      <c r="I441" s="23"/>
    </row>
    <row r="442" spans="1:9" ht="14.45" customHeight="1">
      <c r="A442" s="35"/>
      <c r="B442" s="25">
        <v>30</v>
      </c>
      <c r="C442" s="26" t="str">
        <f>IF('Fee Receipt (Class-wise)'!C771="", "", 'Fee Receipt (Class-wise)'!C771)</f>
        <v/>
      </c>
      <c r="D442" s="25">
        <f>'Fee Receipt (Class-wise)'!K771</f>
        <v>760</v>
      </c>
      <c r="E442" s="23"/>
      <c r="F442" s="25">
        <v>60</v>
      </c>
      <c r="G442" s="26" t="str">
        <f>IF('Fee Receipt (Class-wise)'!C801="", "", 'Fee Receipt (Class-wise)'!C801)</f>
        <v/>
      </c>
      <c r="H442" s="25">
        <f>'Fee Receipt (Class-wise)'!K801</f>
        <v>760</v>
      </c>
      <c r="I442" s="23"/>
    </row>
    <row r="443" spans="1:9" ht="14.45" customHeight="1">
      <c r="A443" s="35"/>
      <c r="B443" s="25"/>
      <c r="C443" s="23"/>
      <c r="D443" s="23"/>
      <c r="E443" s="23"/>
      <c r="F443" s="33" t="s">
        <v>31</v>
      </c>
      <c r="G443" s="33"/>
      <c r="H443" s="24">
        <f>SUM(D413:D442)+SUM(H413:H442)</f>
        <v>34940</v>
      </c>
      <c r="I443" s="23"/>
    </row>
    <row r="444" spans="1:9" ht="14.45" customHeight="1">
      <c r="B444" s="23"/>
      <c r="C444" s="23"/>
      <c r="D444" s="23"/>
      <c r="E444" s="23"/>
      <c r="F444" s="23"/>
      <c r="G444" s="23"/>
      <c r="H444" s="23"/>
      <c r="I444" s="23"/>
    </row>
    <row r="445" spans="1:9" ht="14.45" customHeight="1">
      <c r="B445" s="23"/>
      <c r="C445" s="23"/>
      <c r="D445" s="23"/>
      <c r="E445" s="23"/>
      <c r="F445" s="23"/>
      <c r="G445" s="23"/>
      <c r="H445" s="23"/>
      <c r="I445" s="23"/>
    </row>
    <row r="446" spans="1:9" ht="14.45" customHeight="1">
      <c r="A446" s="49">
        <v>13</v>
      </c>
      <c r="B446" s="35" t="s">
        <v>33</v>
      </c>
      <c r="C446" s="35"/>
      <c r="D446" s="35"/>
      <c r="E446" s="35"/>
      <c r="F446" s="35"/>
      <c r="G446" s="35"/>
      <c r="H446" s="24" t="s">
        <v>36</v>
      </c>
      <c r="I446" s="23"/>
    </row>
    <row r="447" spans="1:9" ht="14.45" customHeight="1">
      <c r="A447" s="49"/>
      <c r="B447" s="23" t="s">
        <v>35</v>
      </c>
      <c r="C447" s="50" t="str">
        <f>IF('Fee Receipt (Class-wise)'!C806="", "", 'Fee Receipt (Class-wise)'!C806)</f>
        <v xml:space="preserve">BASIC 4B </v>
      </c>
      <c r="D447" s="50"/>
      <c r="E447" s="23"/>
      <c r="F447" s="23"/>
      <c r="G447" s="23"/>
      <c r="H447" s="49">
        <f>IF(C447="", "", H480)</f>
        <v>31590</v>
      </c>
      <c r="I447" s="23"/>
    </row>
    <row r="448" spans="1:9" ht="14.45" customHeight="1">
      <c r="A448" s="49"/>
      <c r="B448" s="23" t="s">
        <v>34</v>
      </c>
      <c r="C448" s="50" t="str">
        <f>IF(C447="", "", 'Fee Receipt (Class-wise)'!$H$2)</f>
        <v>2025-26</v>
      </c>
      <c r="D448" s="50"/>
      <c r="E448" s="23"/>
      <c r="F448" s="23"/>
      <c r="G448" s="23"/>
      <c r="H448" s="49"/>
      <c r="I448" s="23"/>
    </row>
    <row r="449" spans="1:9" ht="14.45" customHeight="1">
      <c r="A449" s="35"/>
      <c r="B449" s="25" t="s">
        <v>1</v>
      </c>
      <c r="C449" s="25" t="s">
        <v>2</v>
      </c>
      <c r="D449" s="25" t="s">
        <v>9</v>
      </c>
      <c r="E449" s="23"/>
      <c r="F449" s="25" t="s">
        <v>1</v>
      </c>
      <c r="G449" s="25" t="s">
        <v>2</v>
      </c>
      <c r="H449" s="25" t="s">
        <v>9</v>
      </c>
      <c r="I449" s="23"/>
    </row>
    <row r="450" spans="1:9" ht="14.45" customHeight="1">
      <c r="A450" s="35"/>
      <c r="B450" s="25">
        <v>1</v>
      </c>
      <c r="C450" s="26" t="str">
        <f>IF('Fee Receipt (Class-wise)'!C809="", "", 'Fee Receipt (Class-wise)'!C809)</f>
        <v>ABDUL-SALAM AHMED</v>
      </c>
      <c r="D450" s="25">
        <f>'Fee Receipt (Class-wise)'!K809</f>
        <v>560</v>
      </c>
      <c r="E450" s="23"/>
      <c r="F450" s="25">
        <v>31</v>
      </c>
      <c r="G450" s="26" t="str">
        <f>IF('Fee Receipt (Class-wise)'!C839="", "", 'Fee Receipt (Class-wise)'!C839)</f>
        <v/>
      </c>
      <c r="H450" s="25">
        <f>'Fee Receipt (Class-wise)'!K839</f>
        <v>760</v>
      </c>
      <c r="I450" s="23"/>
    </row>
    <row r="451" spans="1:9" ht="14.45" customHeight="1">
      <c r="A451" s="35"/>
      <c r="B451" s="25">
        <v>2</v>
      </c>
      <c r="C451" s="26" t="str">
        <f>IF('Fee Receipt (Class-wise)'!C810="", "", 'Fee Receipt (Class-wise)'!C810)</f>
        <v>ACHEAMPONG MARY</v>
      </c>
      <c r="D451" s="25">
        <f>'Fee Receipt (Class-wise)'!K810</f>
        <v>160</v>
      </c>
      <c r="E451" s="23"/>
      <c r="F451" s="25">
        <v>32</v>
      </c>
      <c r="G451" s="26" t="str">
        <f>IF('Fee Receipt (Class-wise)'!C840="", "", 'Fee Receipt (Class-wise)'!C840)</f>
        <v/>
      </c>
      <c r="H451" s="25">
        <f>'Fee Receipt (Class-wise)'!K840</f>
        <v>760</v>
      </c>
      <c r="I451" s="23"/>
    </row>
    <row r="452" spans="1:9" ht="14.45" customHeight="1">
      <c r="A452" s="35"/>
      <c r="B452" s="25">
        <v>3</v>
      </c>
      <c r="C452" s="26" t="str">
        <f>IF('Fee Receipt (Class-wise)'!C811="", "", 'Fee Receipt (Class-wise)'!C811)</f>
        <v>ADZINU EDITH</v>
      </c>
      <c r="D452" s="25">
        <f>'Fee Receipt (Class-wise)'!K811</f>
        <v>460</v>
      </c>
      <c r="E452" s="23"/>
      <c r="F452" s="25">
        <v>33</v>
      </c>
      <c r="G452" s="26" t="str">
        <f>IF('Fee Receipt (Class-wise)'!C841="", "", 'Fee Receipt (Class-wise)'!C841)</f>
        <v/>
      </c>
      <c r="H452" s="25">
        <f>'Fee Receipt (Class-wise)'!K841</f>
        <v>760</v>
      </c>
      <c r="I452" s="23"/>
    </row>
    <row r="453" spans="1:9" ht="14.45" customHeight="1">
      <c r="A453" s="35"/>
      <c r="B453" s="25">
        <v>4</v>
      </c>
      <c r="C453" s="26" t="str">
        <f>IF('Fee Receipt (Class-wise)'!C812="", "", 'Fee Receipt (Class-wise)'!C812)</f>
        <v>AMOAKO MIRACLOUS</v>
      </c>
      <c r="D453" s="25">
        <f>'Fee Receipt (Class-wise)'!K812</f>
        <v>110</v>
      </c>
      <c r="E453" s="23"/>
      <c r="F453" s="25">
        <v>34</v>
      </c>
      <c r="G453" s="26" t="str">
        <f>IF('Fee Receipt (Class-wise)'!C842="", "", 'Fee Receipt (Class-wise)'!C842)</f>
        <v/>
      </c>
      <c r="H453" s="25">
        <f>'Fee Receipt (Class-wise)'!K842</f>
        <v>760</v>
      </c>
      <c r="I453" s="23"/>
    </row>
    <row r="454" spans="1:9" ht="14.45" customHeight="1">
      <c r="A454" s="35"/>
      <c r="B454" s="25">
        <v>5</v>
      </c>
      <c r="C454" s="26" t="str">
        <f>IF('Fee Receipt (Class-wise)'!C813="", "", 'Fee Receipt (Class-wise)'!C813)</f>
        <v>APOBONA ANDREWS</v>
      </c>
      <c r="D454" s="25">
        <f>'Fee Receipt (Class-wise)'!K813</f>
        <v>0</v>
      </c>
      <c r="E454" s="23"/>
      <c r="F454" s="25">
        <v>35</v>
      </c>
      <c r="G454" s="26" t="str">
        <f>IF('Fee Receipt (Class-wise)'!C843="", "", 'Fee Receipt (Class-wise)'!C843)</f>
        <v/>
      </c>
      <c r="H454" s="25">
        <f>'Fee Receipt (Class-wise)'!K843</f>
        <v>760</v>
      </c>
      <c r="I454" s="23"/>
    </row>
    <row r="455" spans="1:9" ht="14.45" customHeight="1">
      <c r="A455" s="35"/>
      <c r="B455" s="25">
        <v>6</v>
      </c>
      <c r="C455" s="26" t="str">
        <f>IF('Fee Receipt (Class-wise)'!C814="", "", 'Fee Receipt (Class-wise)'!C814)</f>
        <v>ATIASE BRIGHT</v>
      </c>
      <c r="D455" s="25">
        <f>'Fee Receipt (Class-wise)'!K814</f>
        <v>0</v>
      </c>
      <c r="E455" s="23"/>
      <c r="F455" s="25">
        <v>36</v>
      </c>
      <c r="G455" s="26" t="str">
        <f>IF('Fee Receipt (Class-wise)'!C844="", "", 'Fee Receipt (Class-wise)'!C844)</f>
        <v/>
      </c>
      <c r="H455" s="25">
        <f>'Fee Receipt (Class-wise)'!K844</f>
        <v>760</v>
      </c>
      <c r="I455" s="23"/>
    </row>
    <row r="456" spans="1:9" ht="14.45" customHeight="1">
      <c r="A456" s="35"/>
      <c r="B456" s="25">
        <v>7</v>
      </c>
      <c r="C456" s="26" t="str">
        <f>IF('Fee Receipt (Class-wise)'!C815="", "", 'Fee Receipt (Class-wise)'!C815)</f>
        <v>AWATEY PENNYGREAT</v>
      </c>
      <c r="D456" s="25">
        <f>'Fee Receipt (Class-wise)'!K815</f>
        <v>0</v>
      </c>
      <c r="E456" s="23"/>
      <c r="F456" s="25">
        <v>37</v>
      </c>
      <c r="G456" s="26" t="str">
        <f>IF('Fee Receipt (Class-wise)'!C845="", "", 'Fee Receipt (Class-wise)'!C845)</f>
        <v/>
      </c>
      <c r="H456" s="25">
        <f>'Fee Receipt (Class-wise)'!K845</f>
        <v>760</v>
      </c>
      <c r="I456" s="23"/>
    </row>
    <row r="457" spans="1:9" ht="14.45" customHeight="1">
      <c r="A457" s="35"/>
      <c r="B457" s="25">
        <v>8</v>
      </c>
      <c r="C457" s="26" t="str">
        <f>IF('Fee Receipt (Class-wise)'!C816="", "", 'Fee Receipt (Class-wise)'!C816)</f>
        <v>AYIVI EYRAM</v>
      </c>
      <c r="D457" s="25">
        <f>'Fee Receipt (Class-wise)'!K816</f>
        <v>360</v>
      </c>
      <c r="E457" s="23"/>
      <c r="F457" s="25">
        <v>38</v>
      </c>
      <c r="G457" s="26" t="str">
        <f>IF('Fee Receipt (Class-wise)'!C846="", "", 'Fee Receipt (Class-wise)'!C846)</f>
        <v/>
      </c>
      <c r="H457" s="25">
        <f>'Fee Receipt (Class-wise)'!K846</f>
        <v>760</v>
      </c>
      <c r="I457" s="23"/>
    </row>
    <row r="458" spans="1:9" ht="14.45" customHeight="1">
      <c r="A458" s="35"/>
      <c r="B458" s="25">
        <v>9</v>
      </c>
      <c r="C458" s="26" t="str">
        <f>IF('Fee Receipt (Class-wise)'!C817="", "", 'Fee Receipt (Class-wise)'!C817)</f>
        <v>BOAKYE CHARITY</v>
      </c>
      <c r="D458" s="25">
        <f>'Fee Receipt (Class-wise)'!K817</f>
        <v>760</v>
      </c>
      <c r="E458" s="23"/>
      <c r="F458" s="25">
        <v>39</v>
      </c>
      <c r="G458" s="26" t="str">
        <f>IF('Fee Receipt (Class-wise)'!C847="", "", 'Fee Receipt (Class-wise)'!C847)</f>
        <v/>
      </c>
      <c r="H458" s="25">
        <f>'Fee Receipt (Class-wise)'!K847</f>
        <v>760</v>
      </c>
      <c r="I458" s="23"/>
    </row>
    <row r="459" spans="1:9" ht="14.45" customHeight="1">
      <c r="A459" s="35"/>
      <c r="B459" s="25">
        <v>10</v>
      </c>
      <c r="C459" s="26" t="str">
        <f>IF('Fee Receipt (Class-wise)'!C818="", "", 'Fee Receipt (Class-wise)'!C818)</f>
        <v>DEGBOR FAITH</v>
      </c>
      <c r="D459" s="25">
        <f>'Fee Receipt (Class-wise)'!K818</f>
        <v>460</v>
      </c>
      <c r="E459" s="23"/>
      <c r="F459" s="25">
        <v>40</v>
      </c>
      <c r="G459" s="26" t="str">
        <f>IF('Fee Receipt (Class-wise)'!C848="", "", 'Fee Receipt (Class-wise)'!C848)</f>
        <v/>
      </c>
      <c r="H459" s="25">
        <f>'Fee Receipt (Class-wise)'!K848</f>
        <v>760</v>
      </c>
      <c r="I459" s="23"/>
    </row>
    <row r="460" spans="1:9" ht="14.45" customHeight="1">
      <c r="A460" s="35"/>
      <c r="B460" s="25">
        <v>11</v>
      </c>
      <c r="C460" s="26" t="str">
        <f>IF('Fee Receipt (Class-wise)'!C819="", "", 'Fee Receipt (Class-wise)'!C819)</f>
        <v>DONKOH PALMER</v>
      </c>
      <c r="D460" s="25">
        <f>'Fee Receipt (Class-wise)'!K819</f>
        <v>260</v>
      </c>
      <c r="E460" s="23"/>
      <c r="F460" s="25">
        <v>41</v>
      </c>
      <c r="G460" s="26" t="str">
        <f>IF('Fee Receipt (Class-wise)'!C849="", "", 'Fee Receipt (Class-wise)'!C849)</f>
        <v/>
      </c>
      <c r="H460" s="25">
        <f>'Fee Receipt (Class-wise)'!K849</f>
        <v>760</v>
      </c>
      <c r="I460" s="23"/>
    </row>
    <row r="461" spans="1:9" ht="14.45" customHeight="1">
      <c r="A461" s="35"/>
      <c r="B461" s="25">
        <v>12</v>
      </c>
      <c r="C461" s="26" t="str">
        <f>IF('Fee Receipt (Class-wise)'!C820="", "", 'Fee Receipt (Class-wise)'!C820)</f>
        <v>DORFENYO EMMANUEL</v>
      </c>
      <c r="D461" s="25">
        <f>'Fee Receipt (Class-wise)'!K820</f>
        <v>260</v>
      </c>
      <c r="E461" s="23"/>
      <c r="F461" s="25">
        <v>42</v>
      </c>
      <c r="G461" s="26" t="str">
        <f>IF('Fee Receipt (Class-wise)'!C850="", "", 'Fee Receipt (Class-wise)'!C850)</f>
        <v/>
      </c>
      <c r="H461" s="25">
        <f>'Fee Receipt (Class-wise)'!K850</f>
        <v>760</v>
      </c>
      <c r="I461" s="23"/>
    </row>
    <row r="462" spans="1:9" ht="14.45" customHeight="1">
      <c r="A462" s="35"/>
      <c r="B462" s="25">
        <v>13</v>
      </c>
      <c r="C462" s="26" t="str">
        <f>IF('Fee Receipt (Class-wise)'!C821="", "", 'Fee Receipt (Class-wise)'!C821)</f>
        <v>DORFENYO HANNAH</v>
      </c>
      <c r="D462" s="25">
        <f>'Fee Receipt (Class-wise)'!K821</f>
        <v>60</v>
      </c>
      <c r="E462" s="23"/>
      <c r="F462" s="25">
        <v>43</v>
      </c>
      <c r="G462" s="26" t="str">
        <f>IF('Fee Receipt (Class-wise)'!C851="", "", 'Fee Receipt (Class-wise)'!C851)</f>
        <v/>
      </c>
      <c r="H462" s="25">
        <f>'Fee Receipt (Class-wise)'!K851</f>
        <v>760</v>
      </c>
      <c r="I462" s="23"/>
    </row>
    <row r="463" spans="1:9" ht="14.45" customHeight="1">
      <c r="A463" s="35"/>
      <c r="B463" s="25">
        <v>14</v>
      </c>
      <c r="C463" s="26" t="str">
        <f>IF('Fee Receipt (Class-wise)'!C822="", "", 'Fee Receipt (Class-wise)'!C822)</f>
        <v>DORFENYO HANNAIAH</v>
      </c>
      <c r="D463" s="25">
        <f>'Fee Receipt (Class-wise)'!K822</f>
        <v>60</v>
      </c>
      <c r="E463" s="23"/>
      <c r="F463" s="25">
        <v>44</v>
      </c>
      <c r="G463" s="26" t="str">
        <f>IF('Fee Receipt (Class-wise)'!C852="", "", 'Fee Receipt (Class-wise)'!C852)</f>
        <v/>
      </c>
      <c r="H463" s="25">
        <f>'Fee Receipt (Class-wise)'!K852</f>
        <v>760</v>
      </c>
      <c r="I463" s="23"/>
    </row>
    <row r="464" spans="1:9" ht="14.45" customHeight="1">
      <c r="A464" s="35"/>
      <c r="B464" s="25">
        <v>15</v>
      </c>
      <c r="C464" s="26" t="str">
        <f>IF('Fee Receipt (Class-wise)'!C823="", "", 'Fee Receipt (Class-wise)'!C823)</f>
        <v>GYAKYE EBENEZER</v>
      </c>
      <c r="D464" s="25">
        <f>'Fee Receipt (Class-wise)'!K823</f>
        <v>260</v>
      </c>
      <c r="E464" s="23"/>
      <c r="F464" s="25">
        <v>45</v>
      </c>
      <c r="G464" s="26" t="str">
        <f>IF('Fee Receipt (Class-wise)'!C853="", "", 'Fee Receipt (Class-wise)'!C853)</f>
        <v/>
      </c>
      <c r="H464" s="25">
        <f>'Fee Receipt (Class-wise)'!K853</f>
        <v>760</v>
      </c>
      <c r="I464" s="23"/>
    </row>
    <row r="465" spans="1:9" ht="14.45" customHeight="1">
      <c r="A465" s="35"/>
      <c r="B465" s="25">
        <v>16</v>
      </c>
      <c r="C465" s="26" t="str">
        <f>IF('Fee Receipt (Class-wise)'!C824="", "", 'Fee Receipt (Class-wise)'!C824)</f>
        <v>KPELU YORM DERRICK</v>
      </c>
      <c r="D465" s="25">
        <f>'Fee Receipt (Class-wise)'!K824</f>
        <v>260</v>
      </c>
      <c r="E465" s="23"/>
      <c r="F465" s="25">
        <v>46</v>
      </c>
      <c r="G465" s="26" t="str">
        <f>IF('Fee Receipt (Class-wise)'!C854="", "", 'Fee Receipt (Class-wise)'!C854)</f>
        <v/>
      </c>
      <c r="H465" s="25">
        <f>'Fee Receipt (Class-wise)'!K854</f>
        <v>760</v>
      </c>
      <c r="I465" s="23"/>
    </row>
    <row r="466" spans="1:9" ht="14.45" customHeight="1">
      <c r="A466" s="35"/>
      <c r="B466" s="25">
        <v>17</v>
      </c>
      <c r="C466" s="26" t="str">
        <f>IF('Fee Receipt (Class-wise)'!C825="", "", 'Fee Receipt (Class-wise)'!C825)</f>
        <v>NOAMESI HELEN</v>
      </c>
      <c r="D466" s="25">
        <f>'Fee Receipt (Class-wise)'!K825</f>
        <v>160</v>
      </c>
      <c r="E466" s="23"/>
      <c r="F466" s="25">
        <v>47</v>
      </c>
      <c r="G466" s="26" t="str">
        <f>IF('Fee Receipt (Class-wise)'!C855="", "", 'Fee Receipt (Class-wise)'!C855)</f>
        <v/>
      </c>
      <c r="H466" s="25">
        <f>'Fee Receipt (Class-wise)'!K855</f>
        <v>760</v>
      </c>
      <c r="I466" s="23"/>
    </row>
    <row r="467" spans="1:9" ht="14.45" customHeight="1">
      <c r="A467" s="35"/>
      <c r="B467" s="25">
        <v>18</v>
      </c>
      <c r="C467" s="26" t="str">
        <f>IF('Fee Receipt (Class-wise)'!C826="", "", 'Fee Receipt (Class-wise)'!C826)</f>
        <v>OSEI OWEN</v>
      </c>
      <c r="D467" s="25">
        <f>'Fee Receipt (Class-wise)'!K826</f>
        <v>360</v>
      </c>
      <c r="E467" s="23"/>
      <c r="F467" s="25">
        <v>48</v>
      </c>
      <c r="G467" s="26" t="str">
        <f>IF('Fee Receipt (Class-wise)'!C856="", "", 'Fee Receipt (Class-wise)'!C856)</f>
        <v/>
      </c>
      <c r="H467" s="25">
        <f>'Fee Receipt (Class-wise)'!K856</f>
        <v>760</v>
      </c>
      <c r="I467" s="23"/>
    </row>
    <row r="468" spans="1:9" ht="14.45" customHeight="1">
      <c r="A468" s="35"/>
      <c r="B468" s="25">
        <v>19</v>
      </c>
      <c r="C468" s="26" t="str">
        <f>IF('Fee Receipt (Class-wise)'!C827="", "", 'Fee Receipt (Class-wise)'!C827)</f>
        <v>OTENG YAW OKUKUDUROFO</v>
      </c>
      <c r="D468" s="25">
        <f>'Fee Receipt (Class-wise)'!K827</f>
        <v>0</v>
      </c>
      <c r="E468" s="23"/>
      <c r="F468" s="25">
        <v>49</v>
      </c>
      <c r="G468" s="26" t="str">
        <f>IF('Fee Receipt (Class-wise)'!C857="", "", 'Fee Receipt (Class-wise)'!C857)</f>
        <v/>
      </c>
      <c r="H468" s="25">
        <f>'Fee Receipt (Class-wise)'!K857</f>
        <v>760</v>
      </c>
      <c r="I468" s="23"/>
    </row>
    <row r="469" spans="1:9" ht="14.45" customHeight="1">
      <c r="A469" s="35"/>
      <c r="B469" s="25">
        <v>20</v>
      </c>
      <c r="C469" s="26" t="str">
        <f>IF('Fee Receipt (Class-wise)'!C828="", "", 'Fee Receipt (Class-wise)'!C828)</f>
        <v>PINTO EUGENIA</v>
      </c>
      <c r="D469" s="25">
        <f>'Fee Receipt (Class-wise)'!K828</f>
        <v>60</v>
      </c>
      <c r="E469" s="23"/>
      <c r="F469" s="25">
        <v>50</v>
      </c>
      <c r="G469" s="26" t="str">
        <f>IF('Fee Receipt (Class-wise)'!C858="", "", 'Fee Receipt (Class-wise)'!C858)</f>
        <v/>
      </c>
      <c r="H469" s="25">
        <f>'Fee Receipt (Class-wise)'!K858</f>
        <v>760</v>
      </c>
      <c r="I469" s="23"/>
    </row>
    <row r="470" spans="1:9" ht="14.45" customHeight="1">
      <c r="A470" s="35"/>
      <c r="B470" s="25">
        <v>21</v>
      </c>
      <c r="C470" s="26" t="str">
        <f>IF('Fee Receipt (Class-wise)'!C829="", "", 'Fee Receipt (Class-wise)'!C829)</f>
        <v>QUAQUE NUNANA JAPHET</v>
      </c>
      <c r="D470" s="25">
        <f>'Fee Receipt (Class-wise)'!K829</f>
        <v>0</v>
      </c>
      <c r="E470" s="23"/>
      <c r="F470" s="25">
        <v>51</v>
      </c>
      <c r="G470" s="26" t="str">
        <f>IF('Fee Receipt (Class-wise)'!C859="", "", 'Fee Receipt (Class-wise)'!C859)</f>
        <v/>
      </c>
      <c r="H470" s="25">
        <f>'Fee Receipt (Class-wise)'!K859</f>
        <v>760</v>
      </c>
      <c r="I470" s="23"/>
    </row>
    <row r="471" spans="1:9" ht="14.45" customHeight="1">
      <c r="A471" s="35"/>
      <c r="B471" s="25">
        <v>22</v>
      </c>
      <c r="C471" s="26" t="str">
        <f>IF('Fee Receipt (Class-wise)'!C830="", "", 'Fee Receipt (Class-wise)'!C830)</f>
        <v>RAZAK RAHIM</v>
      </c>
      <c r="D471" s="25">
        <f>'Fee Receipt (Class-wise)'!K830</f>
        <v>0</v>
      </c>
      <c r="E471" s="23"/>
      <c r="F471" s="25">
        <v>52</v>
      </c>
      <c r="G471" s="26" t="str">
        <f>IF('Fee Receipt (Class-wise)'!C860="", "", 'Fee Receipt (Class-wise)'!C860)</f>
        <v/>
      </c>
      <c r="H471" s="25">
        <f>'Fee Receipt (Class-wise)'!K860</f>
        <v>760</v>
      </c>
      <c r="I471" s="23"/>
    </row>
    <row r="472" spans="1:9" ht="14.45" customHeight="1">
      <c r="A472" s="35"/>
      <c r="B472" s="25">
        <v>23</v>
      </c>
      <c r="C472" s="26" t="str">
        <f>IF('Fee Receipt (Class-wise)'!C831="", "", 'Fee Receipt (Class-wise)'!C831)</f>
        <v>SEKU SAMPSON</v>
      </c>
      <c r="D472" s="25">
        <f>'Fee Receipt (Class-wise)'!K831</f>
        <v>360</v>
      </c>
      <c r="E472" s="23"/>
      <c r="F472" s="25">
        <v>53</v>
      </c>
      <c r="G472" s="26" t="str">
        <f>IF('Fee Receipt (Class-wise)'!C861="", "", 'Fee Receipt (Class-wise)'!C861)</f>
        <v/>
      </c>
      <c r="H472" s="25">
        <f>'Fee Receipt (Class-wise)'!K861</f>
        <v>760</v>
      </c>
      <c r="I472" s="23"/>
    </row>
    <row r="473" spans="1:9" ht="14.45" customHeight="1">
      <c r="A473" s="35"/>
      <c r="B473" s="25">
        <v>24</v>
      </c>
      <c r="C473" s="26" t="str">
        <f>IF('Fee Receipt (Class-wise)'!C832="", "", 'Fee Receipt (Class-wise)'!C832)</f>
        <v>TETTEH NII JEREMY</v>
      </c>
      <c r="D473" s="25">
        <f>'Fee Receipt (Class-wise)'!K832</f>
        <v>460</v>
      </c>
      <c r="E473" s="23"/>
      <c r="F473" s="25">
        <v>54</v>
      </c>
      <c r="G473" s="26" t="str">
        <f>IF('Fee Receipt (Class-wise)'!C862="", "", 'Fee Receipt (Class-wise)'!C862)</f>
        <v/>
      </c>
      <c r="H473" s="25">
        <f>'Fee Receipt (Class-wise)'!K862</f>
        <v>760</v>
      </c>
      <c r="I473" s="23"/>
    </row>
    <row r="474" spans="1:9" ht="14.45" customHeight="1">
      <c r="A474" s="35"/>
      <c r="B474" s="25">
        <v>25</v>
      </c>
      <c r="C474" s="26" t="str">
        <f>IF('Fee Receipt (Class-wise)'!C833="", "", 'Fee Receipt (Class-wise)'!C833)</f>
        <v>TETTEY STEPHEN</v>
      </c>
      <c r="D474" s="25">
        <f>'Fee Receipt (Class-wise)'!K833</f>
        <v>260</v>
      </c>
      <c r="E474" s="23"/>
      <c r="F474" s="25">
        <v>55</v>
      </c>
      <c r="G474" s="26" t="str">
        <f>IF('Fee Receipt (Class-wise)'!C863="", "", 'Fee Receipt (Class-wise)'!C863)</f>
        <v/>
      </c>
      <c r="H474" s="25">
        <f>'Fee Receipt (Class-wise)'!K863</f>
        <v>760</v>
      </c>
      <c r="I474" s="23"/>
    </row>
    <row r="475" spans="1:9" ht="14.45" customHeight="1">
      <c r="A475" s="35"/>
      <c r="B475" s="25">
        <v>26</v>
      </c>
      <c r="C475" s="26" t="str">
        <f>IF('Fee Receipt (Class-wise)'!C834="", "", 'Fee Receipt (Class-wise)'!C834)</f>
        <v>TSALI VERA</v>
      </c>
      <c r="D475" s="25">
        <f>'Fee Receipt (Class-wise)'!K834</f>
        <v>360</v>
      </c>
      <c r="E475" s="23"/>
      <c r="F475" s="25">
        <v>56</v>
      </c>
      <c r="G475" s="26" t="str">
        <f>IF('Fee Receipt (Class-wise)'!C864="", "", 'Fee Receipt (Class-wise)'!C864)</f>
        <v/>
      </c>
      <c r="H475" s="25">
        <f>'Fee Receipt (Class-wise)'!K864</f>
        <v>760</v>
      </c>
      <c r="I475" s="23"/>
    </row>
    <row r="476" spans="1:9" ht="14.45" customHeight="1">
      <c r="A476" s="35"/>
      <c r="B476" s="25">
        <v>27</v>
      </c>
      <c r="C476" s="26" t="str">
        <f>IF('Fee Receipt (Class-wise)'!C835="", "", 'Fee Receipt (Class-wise)'!C835)</f>
        <v>YAKUBU ABDUL-MUMIN</v>
      </c>
      <c r="D476" s="25">
        <f>'Fee Receipt (Class-wise)'!K835</f>
        <v>460</v>
      </c>
      <c r="E476" s="23"/>
      <c r="F476" s="25">
        <v>57</v>
      </c>
      <c r="G476" s="26" t="str">
        <f>IF('Fee Receipt (Class-wise)'!C865="", "", 'Fee Receipt (Class-wise)'!C865)</f>
        <v/>
      </c>
      <c r="H476" s="25">
        <f>'Fee Receipt (Class-wise)'!K865</f>
        <v>760</v>
      </c>
      <c r="I476" s="23"/>
    </row>
    <row r="477" spans="1:9" ht="14.45" customHeight="1">
      <c r="A477" s="35"/>
      <c r="B477" s="25">
        <v>28</v>
      </c>
      <c r="C477" s="26" t="str">
        <f>IF('Fee Receipt (Class-wise)'!C836="", "", 'Fee Receipt (Class-wise)'!C836)</f>
        <v/>
      </c>
      <c r="D477" s="25">
        <f>'Fee Receipt (Class-wise)'!K836</f>
        <v>760</v>
      </c>
      <c r="E477" s="23"/>
      <c r="F477" s="25">
        <v>58</v>
      </c>
      <c r="G477" s="26" t="str">
        <f>IF('Fee Receipt (Class-wise)'!C866="", "", 'Fee Receipt (Class-wise)'!C866)</f>
        <v/>
      </c>
      <c r="H477" s="25">
        <f>'Fee Receipt (Class-wise)'!K866</f>
        <v>760</v>
      </c>
      <c r="I477" s="23"/>
    </row>
    <row r="478" spans="1:9" ht="14.45" customHeight="1">
      <c r="A478" s="35"/>
      <c r="B478" s="25">
        <v>29</v>
      </c>
      <c r="C478" s="26" t="str">
        <f>IF('Fee Receipt (Class-wise)'!C837="", "", 'Fee Receipt (Class-wise)'!C837)</f>
        <v/>
      </c>
      <c r="D478" s="25">
        <f>'Fee Receipt (Class-wise)'!K837</f>
        <v>760</v>
      </c>
      <c r="E478" s="23"/>
      <c r="F478" s="25">
        <v>59</v>
      </c>
      <c r="G478" s="26" t="str">
        <f>IF('Fee Receipt (Class-wise)'!C867="", "", 'Fee Receipt (Class-wise)'!C867)</f>
        <v/>
      </c>
      <c r="H478" s="25">
        <f>'Fee Receipt (Class-wise)'!K867</f>
        <v>760</v>
      </c>
      <c r="I478" s="23"/>
    </row>
    <row r="479" spans="1:9" ht="14.45" customHeight="1">
      <c r="A479" s="35"/>
      <c r="B479" s="25">
        <v>30</v>
      </c>
      <c r="C479" s="26" t="str">
        <f>IF('Fee Receipt (Class-wise)'!C838="", "", 'Fee Receipt (Class-wise)'!C838)</f>
        <v/>
      </c>
      <c r="D479" s="25">
        <f>'Fee Receipt (Class-wise)'!K838</f>
        <v>760</v>
      </c>
      <c r="E479" s="23"/>
      <c r="F479" s="25">
        <v>60</v>
      </c>
      <c r="G479" s="26" t="str">
        <f>IF('Fee Receipt (Class-wise)'!C868="", "", 'Fee Receipt (Class-wise)'!C868)</f>
        <v/>
      </c>
      <c r="H479" s="25">
        <f>'Fee Receipt (Class-wise)'!K868</f>
        <v>760</v>
      </c>
      <c r="I479" s="23"/>
    </row>
    <row r="480" spans="1:9" ht="14.45" customHeight="1">
      <c r="A480" s="35"/>
      <c r="B480" s="25"/>
      <c r="C480" s="23"/>
      <c r="D480" s="23"/>
      <c r="E480" s="23"/>
      <c r="F480" s="33" t="s">
        <v>31</v>
      </c>
      <c r="G480" s="33"/>
      <c r="H480" s="24">
        <f>SUM(D450:D479)+SUM(H450:H479)</f>
        <v>31590</v>
      </c>
      <c r="I480" s="23"/>
    </row>
    <row r="481" spans="1:9" ht="14.45" customHeight="1">
      <c r="B481" s="23"/>
      <c r="C481" s="23"/>
      <c r="D481" s="23"/>
      <c r="E481" s="23"/>
      <c r="F481" s="23"/>
      <c r="G481" s="23"/>
      <c r="H481" s="23"/>
      <c r="I481" s="23"/>
    </row>
    <row r="482" spans="1:9" ht="14.45" customHeight="1">
      <c r="B482" s="23"/>
      <c r="C482" s="23"/>
      <c r="D482" s="23"/>
      <c r="E482" s="23"/>
      <c r="F482" s="23"/>
      <c r="G482" s="23"/>
      <c r="H482" s="23"/>
      <c r="I482" s="23"/>
    </row>
    <row r="483" spans="1:9" ht="14.45" customHeight="1">
      <c r="A483" s="49">
        <v>14</v>
      </c>
      <c r="B483" s="35" t="s">
        <v>33</v>
      </c>
      <c r="C483" s="35"/>
      <c r="D483" s="35"/>
      <c r="E483" s="35"/>
      <c r="F483" s="35"/>
      <c r="G483" s="35"/>
      <c r="H483" s="24" t="s">
        <v>36</v>
      </c>
      <c r="I483" s="23"/>
    </row>
    <row r="484" spans="1:9" ht="14.45" customHeight="1">
      <c r="A484" s="49"/>
      <c r="B484" s="23" t="s">
        <v>35</v>
      </c>
      <c r="C484" s="50" t="str">
        <f>IF('Fee Receipt (Class-wise)'!C873="", "", 'Fee Receipt (Class-wise)'!C873)</f>
        <v>BASIC 5A</v>
      </c>
      <c r="D484" s="50"/>
      <c r="E484" s="23"/>
      <c r="F484" s="23"/>
      <c r="G484" s="23"/>
      <c r="H484" s="49">
        <f>IF(C484="", "", H517)</f>
        <v>29850</v>
      </c>
      <c r="I484" s="23"/>
    </row>
    <row r="485" spans="1:9" ht="14.45" customHeight="1">
      <c r="A485" s="49"/>
      <c r="B485" s="23" t="s">
        <v>34</v>
      </c>
      <c r="C485" s="50" t="str">
        <f>IF(C484="", "", 'Fee Receipt (Class-wise)'!$H$2)</f>
        <v>2025-26</v>
      </c>
      <c r="D485" s="50"/>
      <c r="E485" s="23"/>
      <c r="F485" s="23"/>
      <c r="G485" s="23"/>
      <c r="H485" s="49"/>
      <c r="I485" s="23"/>
    </row>
    <row r="486" spans="1:9" ht="14.45" customHeight="1">
      <c r="A486" s="35"/>
      <c r="B486" s="25" t="s">
        <v>1</v>
      </c>
      <c r="C486" s="25" t="s">
        <v>2</v>
      </c>
      <c r="D486" s="25" t="s">
        <v>9</v>
      </c>
      <c r="E486" s="23"/>
      <c r="F486" s="25" t="s">
        <v>1</v>
      </c>
      <c r="G486" s="25" t="s">
        <v>2</v>
      </c>
      <c r="H486" s="25" t="s">
        <v>9</v>
      </c>
      <c r="I486" s="23"/>
    </row>
    <row r="487" spans="1:9" ht="14.45" customHeight="1">
      <c r="A487" s="35"/>
      <c r="B487" s="25">
        <v>1</v>
      </c>
      <c r="C487" s="26" t="str">
        <f>IF('Fee Receipt (Class-wise)'!C876="", "", 'Fee Receipt (Class-wise)'!C876)</f>
        <v>ABDUL-KADIR FAROUK</v>
      </c>
      <c r="D487" s="25">
        <f>'Fee Receipt (Class-wise)'!K876</f>
        <v>560</v>
      </c>
      <c r="E487" s="23"/>
      <c r="F487" s="25">
        <v>31</v>
      </c>
      <c r="G487" s="26" t="str">
        <f>IF('Fee Receipt (Class-wise)'!C906="", "", 'Fee Receipt (Class-wise)'!C906)</f>
        <v>OTOO CHRISTABEL</v>
      </c>
      <c r="H487" s="25">
        <f>'Fee Receipt (Class-wise)'!K906</f>
        <v>460</v>
      </c>
      <c r="I487" s="23"/>
    </row>
    <row r="488" spans="1:9" ht="14.45" customHeight="1">
      <c r="A488" s="35"/>
      <c r="B488" s="25">
        <v>2</v>
      </c>
      <c r="C488" s="26" t="str">
        <f>IF('Fee Receipt (Class-wise)'!C877="", "", 'Fee Receipt (Class-wise)'!C877)</f>
        <v>ABDUL-MAJID NURUDEEN</v>
      </c>
      <c r="D488" s="25">
        <f>'Fee Receipt (Class-wise)'!K877</f>
        <v>160</v>
      </c>
      <c r="E488" s="23"/>
      <c r="F488" s="25">
        <v>32</v>
      </c>
      <c r="G488" s="26" t="str">
        <f>IF('Fee Receipt (Class-wise)'!C907="", "", 'Fee Receipt (Class-wise)'!C907)</f>
        <v>OTUMFOUR JEROME</v>
      </c>
      <c r="H488" s="25">
        <f>'Fee Receipt (Class-wise)'!K907</f>
        <v>10</v>
      </c>
      <c r="I488" s="23"/>
    </row>
    <row r="489" spans="1:9" ht="14.45" customHeight="1">
      <c r="A489" s="35"/>
      <c r="B489" s="25">
        <v>3</v>
      </c>
      <c r="C489" s="26" t="str">
        <f>IF('Fee Receipt (Class-wise)'!C878="", "", 'Fee Receipt (Class-wise)'!C878)</f>
        <v>ABDUL-RAHIM RHAMA</v>
      </c>
      <c r="D489" s="25">
        <f>'Fee Receipt (Class-wise)'!K878</f>
        <v>260</v>
      </c>
      <c r="E489" s="23"/>
      <c r="F489" s="25">
        <v>33</v>
      </c>
      <c r="G489" s="26" t="str">
        <f>IF('Fee Receipt (Class-wise)'!C908="", "", 'Fee Receipt (Class-wise)'!C908)</f>
        <v>QUAYE QUEEN KEREN</v>
      </c>
      <c r="H489" s="25">
        <f>'Fee Receipt (Class-wise)'!K908</f>
        <v>0</v>
      </c>
      <c r="I489" s="23"/>
    </row>
    <row r="490" spans="1:9" ht="14.45" customHeight="1">
      <c r="A490" s="35"/>
      <c r="B490" s="25">
        <v>4</v>
      </c>
      <c r="C490" s="26" t="str">
        <f>IF('Fee Receipt (Class-wise)'!C879="", "", 'Fee Receipt (Class-wise)'!C879)</f>
        <v>ACHEAMPONG LYDIA</v>
      </c>
      <c r="D490" s="25">
        <f>'Fee Receipt (Class-wise)'!K879</f>
        <v>160</v>
      </c>
      <c r="E490" s="23"/>
      <c r="F490" s="25">
        <v>34</v>
      </c>
      <c r="G490" s="26" t="str">
        <f>IF('Fee Receipt (Class-wise)'!C909="", "", 'Fee Receipt (Class-wise)'!C909)</f>
        <v>TAMATEY DEDE VERTIOUS</v>
      </c>
      <c r="H490" s="25">
        <f>'Fee Receipt (Class-wise)'!K909</f>
        <v>460</v>
      </c>
      <c r="I490" s="23"/>
    </row>
    <row r="491" spans="1:9" ht="14.45" customHeight="1">
      <c r="A491" s="35"/>
      <c r="B491" s="25">
        <v>5</v>
      </c>
      <c r="C491" s="26" t="str">
        <f>IF('Fee Receipt (Class-wise)'!C880="", "", 'Fee Receipt (Class-wise)'!C880)</f>
        <v/>
      </c>
      <c r="D491" s="25">
        <f>'Fee Receipt (Class-wise)'!K880</f>
        <v>760</v>
      </c>
      <c r="E491" s="23"/>
      <c r="F491" s="25">
        <v>35</v>
      </c>
      <c r="G491" s="26" t="str">
        <f>IF('Fee Receipt (Class-wise)'!C910="", "", 'Fee Receipt (Class-wise)'!C910)</f>
        <v>TEMEREKU EMMANUEL</v>
      </c>
      <c r="H491" s="25">
        <f>'Fee Receipt (Class-wise)'!K910</f>
        <v>560</v>
      </c>
      <c r="I491" s="23"/>
    </row>
    <row r="492" spans="1:9" ht="14.45" customHeight="1">
      <c r="A492" s="35"/>
      <c r="B492" s="25">
        <v>6</v>
      </c>
      <c r="C492" s="26" t="str">
        <f>IF('Fee Receipt (Class-wise)'!C881="", "", 'Fee Receipt (Class-wise)'!C881)</f>
        <v>AFARI EMMANUEL</v>
      </c>
      <c r="D492" s="25">
        <f>'Fee Receipt (Class-wise)'!K881</f>
        <v>460</v>
      </c>
      <c r="E492" s="23"/>
      <c r="F492" s="25">
        <v>36</v>
      </c>
      <c r="G492" s="26" t="str">
        <f>IF('Fee Receipt (Class-wise)'!C911="", "", 'Fee Receipt (Class-wise)'!C911)</f>
        <v>TETTEH BLESSING</v>
      </c>
      <c r="H492" s="25">
        <f>'Fee Receipt (Class-wise)'!K911</f>
        <v>110</v>
      </c>
      <c r="I492" s="23"/>
    </row>
    <row r="493" spans="1:9" ht="14.45" customHeight="1">
      <c r="A493" s="35"/>
      <c r="B493" s="25">
        <v>7</v>
      </c>
      <c r="C493" s="26" t="str">
        <f>IF('Fee Receipt (Class-wise)'!C882="", "", 'Fee Receipt (Class-wise)'!C882)</f>
        <v>AFARI EMMANUELLA</v>
      </c>
      <c r="D493" s="25">
        <f>'Fee Receipt (Class-wise)'!K882</f>
        <v>460</v>
      </c>
      <c r="E493" s="23"/>
      <c r="F493" s="25">
        <v>37</v>
      </c>
      <c r="G493" s="26" t="str">
        <f>IF('Fee Receipt (Class-wise)'!C912="", "", 'Fee Receipt (Class-wise)'!C912)</f>
        <v>UMAR ADIZA</v>
      </c>
      <c r="H493" s="25">
        <f>'Fee Receipt (Class-wise)'!K912</f>
        <v>310</v>
      </c>
      <c r="I493" s="23"/>
    </row>
    <row r="494" spans="1:9" ht="14.45" customHeight="1">
      <c r="A494" s="35"/>
      <c r="B494" s="25">
        <v>8</v>
      </c>
      <c r="C494" s="26" t="str">
        <f>IF('Fee Receipt (Class-wise)'!C883="", "", 'Fee Receipt (Class-wise)'!C883)</f>
        <v>AGYEMANG DIVINE</v>
      </c>
      <c r="D494" s="25">
        <f>'Fee Receipt (Class-wise)'!K883</f>
        <v>560</v>
      </c>
      <c r="E494" s="23"/>
      <c r="F494" s="25">
        <v>38</v>
      </c>
      <c r="G494" s="26" t="str">
        <f>IF('Fee Receipt (Class-wise)'!C913="", "", 'Fee Receipt (Class-wise)'!C913)</f>
        <v>ZAKARIA SUABRI</v>
      </c>
      <c r="H494" s="25">
        <f>'Fee Receipt (Class-wise)'!K913</f>
        <v>0</v>
      </c>
      <c r="I494" s="23"/>
    </row>
    <row r="495" spans="1:9" ht="14.45" customHeight="1">
      <c r="A495" s="35"/>
      <c r="B495" s="25">
        <v>9</v>
      </c>
      <c r="C495" s="26" t="str">
        <f>IF('Fee Receipt (Class-wise)'!C884="", "", 'Fee Receipt (Class-wise)'!C884)</f>
        <v>AMOAH ASEDA</v>
      </c>
      <c r="D495" s="25">
        <f>'Fee Receipt (Class-wise)'!K884</f>
        <v>360</v>
      </c>
      <c r="E495" s="23"/>
      <c r="F495" s="25">
        <v>39</v>
      </c>
      <c r="G495" s="26" t="str">
        <f>IF('Fee Receipt (Class-wise)'!C914="", "", 'Fee Receipt (Class-wise)'!C914)</f>
        <v/>
      </c>
      <c r="H495" s="25">
        <f>'Fee Receipt (Class-wise)'!K914</f>
        <v>760</v>
      </c>
      <c r="I495" s="23"/>
    </row>
    <row r="496" spans="1:9" ht="14.45" customHeight="1">
      <c r="A496" s="35"/>
      <c r="B496" s="25">
        <v>10</v>
      </c>
      <c r="C496" s="26" t="str">
        <f>IF('Fee Receipt (Class-wise)'!C885="", "", 'Fee Receipt (Class-wise)'!C885)</f>
        <v>AMPEDU SAMUEL</v>
      </c>
      <c r="D496" s="25">
        <f>'Fee Receipt (Class-wise)'!K885</f>
        <v>360</v>
      </c>
      <c r="E496" s="23"/>
      <c r="F496" s="25">
        <v>40</v>
      </c>
      <c r="G496" s="26" t="str">
        <f>IF('Fee Receipt (Class-wise)'!C915="", "", 'Fee Receipt (Class-wise)'!C915)</f>
        <v/>
      </c>
      <c r="H496" s="25">
        <f>'Fee Receipt (Class-wise)'!K915</f>
        <v>760</v>
      </c>
      <c r="I496" s="23"/>
    </row>
    <row r="497" spans="1:9" ht="14.45" customHeight="1">
      <c r="A497" s="35"/>
      <c r="B497" s="25">
        <v>11</v>
      </c>
      <c r="C497" s="26" t="str">
        <f>IF('Fee Receipt (Class-wise)'!C886="", "", 'Fee Receipt (Class-wise)'!C886)</f>
        <v>ASANTE MICHAEL</v>
      </c>
      <c r="D497" s="25">
        <f>'Fee Receipt (Class-wise)'!K886</f>
        <v>660</v>
      </c>
      <c r="E497" s="23"/>
      <c r="F497" s="25">
        <v>41</v>
      </c>
      <c r="G497" s="26" t="str">
        <f>IF('Fee Receipt (Class-wise)'!C916="", "", 'Fee Receipt (Class-wise)'!C916)</f>
        <v/>
      </c>
      <c r="H497" s="25">
        <f>'Fee Receipt (Class-wise)'!K916</f>
        <v>760</v>
      </c>
      <c r="I497" s="23"/>
    </row>
    <row r="498" spans="1:9" ht="14.45" customHeight="1">
      <c r="A498" s="35"/>
      <c r="B498" s="25">
        <v>12</v>
      </c>
      <c r="C498" s="26" t="str">
        <f>IF('Fee Receipt (Class-wise)'!C887="", "", 'Fee Receipt (Class-wise)'!C887)</f>
        <v>ASIGBE DELADEM</v>
      </c>
      <c r="D498" s="25">
        <f>'Fee Receipt (Class-wise)'!K887</f>
        <v>260</v>
      </c>
      <c r="E498" s="23"/>
      <c r="F498" s="25">
        <v>42</v>
      </c>
      <c r="G498" s="26" t="str">
        <f>IF('Fee Receipt (Class-wise)'!C917="", "", 'Fee Receipt (Class-wise)'!C917)</f>
        <v/>
      </c>
      <c r="H498" s="25">
        <f>'Fee Receipt (Class-wise)'!K917</f>
        <v>760</v>
      </c>
      <c r="I498" s="23"/>
    </row>
    <row r="499" spans="1:9" ht="14.45" customHeight="1">
      <c r="A499" s="35"/>
      <c r="B499" s="25">
        <v>13</v>
      </c>
      <c r="C499" s="26" t="str">
        <f>IF('Fee Receipt (Class-wise)'!C888="", "", 'Fee Receipt (Class-wise)'!C888)</f>
        <v>BOSOMPRAH DOROTHY</v>
      </c>
      <c r="D499" s="25">
        <f>'Fee Receipt (Class-wise)'!K888</f>
        <v>760</v>
      </c>
      <c r="E499" s="23"/>
      <c r="F499" s="25">
        <v>43</v>
      </c>
      <c r="G499" s="26" t="str">
        <f>IF('Fee Receipt (Class-wise)'!C918="", "", 'Fee Receipt (Class-wise)'!C918)</f>
        <v/>
      </c>
      <c r="H499" s="25">
        <f>'Fee Receipt (Class-wise)'!K918</f>
        <v>760</v>
      </c>
      <c r="I499" s="23"/>
    </row>
    <row r="500" spans="1:9" ht="14.45" customHeight="1">
      <c r="A500" s="35"/>
      <c r="B500" s="25">
        <v>14</v>
      </c>
      <c r="C500" s="26" t="str">
        <f>IF('Fee Receipt (Class-wise)'!C889="", "", 'Fee Receipt (Class-wise)'!C889)</f>
        <v>BOTCHWAY MAYNARD</v>
      </c>
      <c r="D500" s="25">
        <f>'Fee Receipt (Class-wise)'!K889</f>
        <v>380</v>
      </c>
      <c r="E500" s="23"/>
      <c r="F500" s="25">
        <v>44</v>
      </c>
      <c r="G500" s="26" t="str">
        <f>IF('Fee Receipt (Class-wise)'!C919="", "", 'Fee Receipt (Class-wise)'!C919)</f>
        <v/>
      </c>
      <c r="H500" s="25">
        <f>'Fee Receipt (Class-wise)'!K919</f>
        <v>760</v>
      </c>
      <c r="I500" s="23"/>
    </row>
    <row r="501" spans="1:9" ht="14.45" customHeight="1">
      <c r="A501" s="35"/>
      <c r="B501" s="25">
        <v>15</v>
      </c>
      <c r="C501" s="26" t="str">
        <f>IF('Fee Receipt (Class-wise)'!C890="", "", 'Fee Receipt (Class-wise)'!C890)</f>
        <v>CUDJOE SHULAMITE</v>
      </c>
      <c r="D501" s="25">
        <f>'Fee Receipt (Class-wise)'!K890</f>
        <v>760</v>
      </c>
      <c r="E501" s="23"/>
      <c r="F501" s="25">
        <v>45</v>
      </c>
      <c r="G501" s="26" t="str">
        <f>IF('Fee Receipt (Class-wise)'!C920="", "", 'Fee Receipt (Class-wise)'!C920)</f>
        <v/>
      </c>
      <c r="H501" s="25">
        <f>'Fee Receipt (Class-wise)'!K920</f>
        <v>760</v>
      </c>
      <c r="I501" s="23"/>
    </row>
    <row r="502" spans="1:9" ht="14.45" customHeight="1">
      <c r="A502" s="35"/>
      <c r="B502" s="25">
        <v>16</v>
      </c>
      <c r="C502" s="26" t="str">
        <f>IF('Fee Receipt (Class-wise)'!C891="", "", 'Fee Receipt (Class-wise)'!C891)</f>
        <v>DAGBANU CHRISTABEL</v>
      </c>
      <c r="D502" s="25">
        <f>'Fee Receipt (Class-wise)'!K891</f>
        <v>260</v>
      </c>
      <c r="E502" s="23"/>
      <c r="F502" s="25">
        <v>46</v>
      </c>
      <c r="G502" s="26" t="str">
        <f>IF('Fee Receipt (Class-wise)'!C921="", "", 'Fee Receipt (Class-wise)'!C921)</f>
        <v/>
      </c>
      <c r="H502" s="25">
        <f>'Fee Receipt (Class-wise)'!K921</f>
        <v>760</v>
      </c>
      <c r="I502" s="23"/>
    </row>
    <row r="503" spans="1:9" ht="14.45" customHeight="1">
      <c r="A503" s="35"/>
      <c r="B503" s="25">
        <v>17</v>
      </c>
      <c r="C503" s="26" t="str">
        <f>IF('Fee Receipt (Class-wise)'!C892="", "", 'Fee Receipt (Class-wise)'!C892)</f>
        <v>FOGAH MIRIAM</v>
      </c>
      <c r="D503" s="25">
        <f>'Fee Receipt (Class-wise)'!K892</f>
        <v>260</v>
      </c>
      <c r="E503" s="23"/>
      <c r="F503" s="25">
        <v>47</v>
      </c>
      <c r="G503" s="26" t="str">
        <f>IF('Fee Receipt (Class-wise)'!C922="", "", 'Fee Receipt (Class-wise)'!C922)</f>
        <v/>
      </c>
      <c r="H503" s="25">
        <f>'Fee Receipt (Class-wise)'!K922</f>
        <v>760</v>
      </c>
      <c r="I503" s="23"/>
    </row>
    <row r="504" spans="1:9" ht="14.45" customHeight="1">
      <c r="A504" s="35"/>
      <c r="B504" s="25">
        <v>18</v>
      </c>
      <c r="C504" s="26" t="str">
        <f>IF('Fee Receipt (Class-wise)'!C893="", "", 'Fee Receipt (Class-wise)'!C893)</f>
        <v>FOSU PHILEMON</v>
      </c>
      <c r="D504" s="25">
        <f>'Fee Receipt (Class-wise)'!K893</f>
        <v>360</v>
      </c>
      <c r="E504" s="23"/>
      <c r="F504" s="25">
        <v>48</v>
      </c>
      <c r="G504" s="26" t="str">
        <f>IF('Fee Receipt (Class-wise)'!C923="", "", 'Fee Receipt (Class-wise)'!C923)</f>
        <v/>
      </c>
      <c r="H504" s="25">
        <f>'Fee Receipt (Class-wise)'!K923</f>
        <v>760</v>
      </c>
      <c r="I504" s="23"/>
    </row>
    <row r="505" spans="1:9" ht="14.45" customHeight="1">
      <c r="A505" s="35"/>
      <c r="B505" s="25">
        <v>19</v>
      </c>
      <c r="C505" s="26" t="str">
        <f>IF('Fee Receipt (Class-wise)'!C894="", "", 'Fee Receipt (Class-wise)'!C894)</f>
        <v>HINDU MOHAMMED</v>
      </c>
      <c r="D505" s="25">
        <f>'Fee Receipt (Class-wise)'!K894</f>
        <v>560</v>
      </c>
      <c r="E505" s="23"/>
      <c r="F505" s="25">
        <v>49</v>
      </c>
      <c r="G505" s="26" t="str">
        <f>IF('Fee Receipt (Class-wise)'!C924="", "", 'Fee Receipt (Class-wise)'!C924)</f>
        <v/>
      </c>
      <c r="H505" s="25">
        <f>'Fee Receipt (Class-wise)'!K924</f>
        <v>760</v>
      </c>
      <c r="I505" s="23"/>
    </row>
    <row r="506" spans="1:9" ht="14.45" customHeight="1">
      <c r="A506" s="35"/>
      <c r="B506" s="25">
        <v>20</v>
      </c>
      <c r="C506" s="26" t="str">
        <f>IF('Fee Receipt (Class-wise)'!C895="", "", 'Fee Receipt (Class-wise)'!C895)</f>
        <v>IBRAHIM SADAT</v>
      </c>
      <c r="D506" s="25">
        <f>'Fee Receipt (Class-wise)'!K895</f>
        <v>0</v>
      </c>
      <c r="E506" s="23"/>
      <c r="F506" s="25">
        <v>50</v>
      </c>
      <c r="G506" s="26" t="str">
        <f>IF('Fee Receipt (Class-wise)'!C925="", "", 'Fee Receipt (Class-wise)'!C925)</f>
        <v/>
      </c>
      <c r="H506" s="25">
        <f>'Fee Receipt (Class-wise)'!K925</f>
        <v>760</v>
      </c>
      <c r="I506" s="23"/>
    </row>
    <row r="507" spans="1:9" ht="14.45" customHeight="1">
      <c r="A507" s="35"/>
      <c r="B507" s="25">
        <v>21</v>
      </c>
      <c r="C507" s="26" t="str">
        <f>IF('Fee Receipt (Class-wise)'!C896="", "", 'Fee Receipt (Class-wise)'!C896)</f>
        <v>KATENOR MABEL</v>
      </c>
      <c r="D507" s="25">
        <f>'Fee Receipt (Class-wise)'!K896</f>
        <v>510</v>
      </c>
      <c r="E507" s="23"/>
      <c r="F507" s="25">
        <v>51</v>
      </c>
      <c r="G507" s="26" t="str">
        <f>IF('Fee Receipt (Class-wise)'!C926="", "", 'Fee Receipt (Class-wise)'!C926)</f>
        <v/>
      </c>
      <c r="H507" s="25">
        <f>'Fee Receipt (Class-wise)'!K926</f>
        <v>760</v>
      </c>
      <c r="I507" s="23"/>
    </row>
    <row r="508" spans="1:9" ht="14.45" customHeight="1">
      <c r="A508" s="35"/>
      <c r="B508" s="25">
        <v>22</v>
      </c>
      <c r="C508" s="26" t="str">
        <f>IF('Fee Receipt (Class-wise)'!C897="", "", 'Fee Receipt (Class-wise)'!C897)</f>
        <v>KAZINENAA PRISCILLA</v>
      </c>
      <c r="D508" s="25">
        <f>'Fee Receipt (Class-wise)'!K897</f>
        <v>460</v>
      </c>
      <c r="E508" s="23"/>
      <c r="F508" s="25">
        <v>52</v>
      </c>
      <c r="G508" s="26" t="str">
        <f>IF('Fee Receipt (Class-wise)'!C927="", "", 'Fee Receipt (Class-wise)'!C927)</f>
        <v/>
      </c>
      <c r="H508" s="25">
        <f>'Fee Receipt (Class-wise)'!K927</f>
        <v>760</v>
      </c>
      <c r="I508" s="23"/>
    </row>
    <row r="509" spans="1:9" ht="14.45" customHeight="1">
      <c r="A509" s="35"/>
      <c r="B509" s="25">
        <v>23</v>
      </c>
      <c r="C509" s="26" t="str">
        <f>IF('Fee Receipt (Class-wise)'!C898="", "", 'Fee Receipt (Class-wise)'!C898)</f>
        <v>KETECHIE RICHMOND</v>
      </c>
      <c r="D509" s="25">
        <f>'Fee Receipt (Class-wise)'!K898</f>
        <v>0</v>
      </c>
      <c r="E509" s="23"/>
      <c r="F509" s="25">
        <v>53</v>
      </c>
      <c r="G509" s="26" t="str">
        <f>IF('Fee Receipt (Class-wise)'!C928="", "", 'Fee Receipt (Class-wise)'!C928)</f>
        <v/>
      </c>
      <c r="H509" s="25">
        <f>'Fee Receipt (Class-wise)'!K928</f>
        <v>760</v>
      </c>
      <c r="I509" s="23"/>
    </row>
    <row r="510" spans="1:9" ht="14.45" customHeight="1">
      <c r="A510" s="35"/>
      <c r="B510" s="25">
        <v>24</v>
      </c>
      <c r="C510" s="26" t="str">
        <f>IF('Fee Receipt (Class-wise)'!C899="", "", 'Fee Receipt (Class-wise)'!C899)</f>
        <v>KWAKYE JEFFERY</v>
      </c>
      <c r="D510" s="25">
        <f>'Fee Receipt (Class-wise)'!K899</f>
        <v>0</v>
      </c>
      <c r="E510" s="23"/>
      <c r="F510" s="25">
        <v>54</v>
      </c>
      <c r="G510" s="26" t="str">
        <f>IF('Fee Receipt (Class-wise)'!C929="", "", 'Fee Receipt (Class-wise)'!C929)</f>
        <v/>
      </c>
      <c r="H510" s="25">
        <f>'Fee Receipt (Class-wise)'!K929</f>
        <v>760</v>
      </c>
      <c r="I510" s="23"/>
    </row>
    <row r="511" spans="1:9" ht="14.45" customHeight="1">
      <c r="A511" s="35"/>
      <c r="B511" s="25">
        <v>25</v>
      </c>
      <c r="C511" s="26" t="str">
        <f>IF('Fee Receipt (Class-wise)'!C900="", "", 'Fee Receipt (Class-wise)'!C900)</f>
        <v>MARTEY ISRAEL</v>
      </c>
      <c r="D511" s="25">
        <f>'Fee Receipt (Class-wise)'!K900</f>
        <v>560</v>
      </c>
      <c r="E511" s="23"/>
      <c r="F511" s="25">
        <v>55</v>
      </c>
      <c r="G511" s="26" t="str">
        <f>IF('Fee Receipt (Class-wise)'!C930="", "", 'Fee Receipt (Class-wise)'!C930)</f>
        <v/>
      </c>
      <c r="H511" s="25">
        <f>'Fee Receipt (Class-wise)'!K930</f>
        <v>760</v>
      </c>
      <c r="I511" s="23"/>
    </row>
    <row r="512" spans="1:9" ht="14.45" customHeight="1">
      <c r="A512" s="35"/>
      <c r="B512" s="25">
        <v>26</v>
      </c>
      <c r="C512" s="26" t="str">
        <f>IF('Fee Receipt (Class-wise)'!C901="", "", 'Fee Receipt (Class-wise)'!C901)</f>
        <v>MENSAH GRACE</v>
      </c>
      <c r="D512" s="25">
        <f>'Fee Receipt (Class-wise)'!K901</f>
        <v>160</v>
      </c>
      <c r="E512" s="23"/>
      <c r="F512" s="25">
        <v>56</v>
      </c>
      <c r="G512" s="26" t="str">
        <f>IF('Fee Receipt (Class-wise)'!C931="", "", 'Fee Receipt (Class-wise)'!C931)</f>
        <v/>
      </c>
      <c r="H512" s="25">
        <f>'Fee Receipt (Class-wise)'!K931</f>
        <v>760</v>
      </c>
      <c r="I512" s="23"/>
    </row>
    <row r="513" spans="1:9" ht="14.45" customHeight="1">
      <c r="A513" s="35"/>
      <c r="B513" s="25">
        <v>27</v>
      </c>
      <c r="C513" s="26" t="str">
        <f>IF('Fee Receipt (Class-wise)'!C902="", "", 'Fee Receipt (Class-wise)'!C902)</f>
        <v>MOHAMMED SAWUDA</v>
      </c>
      <c r="D513" s="25">
        <f>'Fee Receipt (Class-wise)'!K902</f>
        <v>0</v>
      </c>
      <c r="E513" s="23"/>
      <c r="F513" s="25">
        <v>57</v>
      </c>
      <c r="G513" s="26" t="str">
        <f>IF('Fee Receipt (Class-wise)'!C932="", "", 'Fee Receipt (Class-wise)'!C932)</f>
        <v/>
      </c>
      <c r="H513" s="25">
        <f>'Fee Receipt (Class-wise)'!K932</f>
        <v>760</v>
      </c>
      <c r="I513" s="23"/>
    </row>
    <row r="514" spans="1:9" ht="14.45" customHeight="1">
      <c r="A514" s="35"/>
      <c r="B514" s="25">
        <v>28</v>
      </c>
      <c r="C514" s="26" t="str">
        <f>IF('Fee Receipt (Class-wise)'!C903="", "", 'Fee Receipt (Class-wise)'!C903)</f>
        <v>MOHAMMED SHABAN</v>
      </c>
      <c r="D514" s="25">
        <f>'Fee Receipt (Class-wise)'!K903</f>
        <v>0</v>
      </c>
      <c r="E514" s="23"/>
      <c r="F514" s="25">
        <v>58</v>
      </c>
      <c r="G514" s="26" t="str">
        <f>IF('Fee Receipt (Class-wise)'!C933="", "", 'Fee Receipt (Class-wise)'!C933)</f>
        <v/>
      </c>
      <c r="H514" s="25">
        <f>'Fee Receipt (Class-wise)'!K933</f>
        <v>760</v>
      </c>
      <c r="I514" s="23"/>
    </row>
    <row r="515" spans="1:9" ht="14.45" customHeight="1">
      <c r="A515" s="35"/>
      <c r="B515" s="25">
        <v>29</v>
      </c>
      <c r="C515" s="26" t="str">
        <f>IF('Fee Receipt (Class-wise)'!C904="", "", 'Fee Receipt (Class-wise)'!C904)</f>
        <v>MUSAH ABDUL-GANIU</v>
      </c>
      <c r="D515" s="25">
        <f>'Fee Receipt (Class-wise)'!K904</f>
        <v>760</v>
      </c>
      <c r="E515" s="23"/>
      <c r="F515" s="25">
        <v>59</v>
      </c>
      <c r="G515" s="26" t="str">
        <f>IF('Fee Receipt (Class-wise)'!C934="", "", 'Fee Receipt (Class-wise)'!C934)</f>
        <v/>
      </c>
      <c r="H515" s="25">
        <f>'Fee Receipt (Class-wise)'!K934</f>
        <v>760</v>
      </c>
      <c r="I515" s="23"/>
    </row>
    <row r="516" spans="1:9" ht="14.45" customHeight="1">
      <c r="A516" s="35"/>
      <c r="B516" s="25">
        <v>30</v>
      </c>
      <c r="C516" s="26" t="str">
        <f>IF('Fee Receipt (Class-wise)'!C905="", "", 'Fee Receipt (Class-wise)'!C905)</f>
        <v>OTOO ACHINI SAMUEL</v>
      </c>
      <c r="D516" s="25">
        <f>'Fee Receipt (Class-wise)'!K905</f>
        <v>410</v>
      </c>
      <c r="E516" s="23"/>
      <c r="F516" s="25">
        <v>60</v>
      </c>
      <c r="G516" s="26" t="str">
        <f>IF('Fee Receipt (Class-wise)'!C935="", "", 'Fee Receipt (Class-wise)'!C935)</f>
        <v/>
      </c>
      <c r="H516" s="25">
        <f>'Fee Receipt (Class-wise)'!K935</f>
        <v>760</v>
      </c>
      <c r="I516" s="23"/>
    </row>
    <row r="517" spans="1:9" ht="14.45" customHeight="1">
      <c r="A517" s="35"/>
      <c r="B517" s="25"/>
      <c r="C517" s="23"/>
      <c r="D517" s="23"/>
      <c r="E517" s="23"/>
      <c r="F517" s="33" t="s">
        <v>31</v>
      </c>
      <c r="G517" s="33"/>
      <c r="H517" s="24">
        <f>SUM(D487:D516)+SUM(H487:H516)</f>
        <v>29850</v>
      </c>
      <c r="I517" s="23"/>
    </row>
    <row r="518" spans="1:9" ht="14.45" customHeight="1">
      <c r="B518" s="23"/>
      <c r="C518" s="23"/>
      <c r="D518" s="23"/>
      <c r="E518" s="23"/>
      <c r="F518" s="23"/>
      <c r="G518" s="23"/>
      <c r="H518" s="23"/>
      <c r="I518" s="23"/>
    </row>
    <row r="519" spans="1:9" ht="14.45" customHeight="1">
      <c r="B519" s="23"/>
      <c r="C519" s="23"/>
      <c r="D519" s="23"/>
      <c r="E519" s="23"/>
      <c r="F519" s="23"/>
      <c r="G519" s="23"/>
      <c r="H519" s="23"/>
      <c r="I519" s="23"/>
    </row>
    <row r="520" spans="1:9" ht="14.45" customHeight="1">
      <c r="A520" s="49">
        <v>15</v>
      </c>
      <c r="B520" s="35" t="s">
        <v>33</v>
      </c>
      <c r="C520" s="35"/>
      <c r="D520" s="35"/>
      <c r="E520" s="35"/>
      <c r="F520" s="35"/>
      <c r="G520" s="35"/>
      <c r="H520" s="24" t="s">
        <v>36</v>
      </c>
      <c r="I520" s="23"/>
    </row>
    <row r="521" spans="1:9" ht="14.45" customHeight="1">
      <c r="A521" s="49"/>
      <c r="B521" s="23" t="s">
        <v>35</v>
      </c>
      <c r="C521" s="50" t="str">
        <f>IF('Fee Receipt (Class-wise)'!C940="", "", 'Fee Receipt (Class-wise)'!C940)</f>
        <v>BASIC 5B</v>
      </c>
      <c r="D521" s="50"/>
      <c r="E521" s="23"/>
      <c r="F521" s="23"/>
      <c r="G521" s="23"/>
      <c r="H521" s="49">
        <f>IF(C521="", "", H554)</f>
        <v>28210</v>
      </c>
      <c r="I521" s="23"/>
    </row>
    <row r="522" spans="1:9" ht="14.45" customHeight="1">
      <c r="A522" s="49"/>
      <c r="B522" s="23" t="s">
        <v>34</v>
      </c>
      <c r="C522" s="50" t="str">
        <f>IF(C521="", "", 'Fee Receipt (Class-wise)'!$H$2)</f>
        <v>2025-26</v>
      </c>
      <c r="D522" s="50"/>
      <c r="E522" s="23"/>
      <c r="F522" s="23"/>
      <c r="G522" s="23"/>
      <c r="H522" s="49"/>
      <c r="I522" s="23"/>
    </row>
    <row r="523" spans="1:9" ht="14.45" customHeight="1">
      <c r="A523" s="35"/>
      <c r="B523" s="25" t="s">
        <v>1</v>
      </c>
      <c r="C523" s="25" t="s">
        <v>2</v>
      </c>
      <c r="D523" s="25" t="s">
        <v>9</v>
      </c>
      <c r="E523" s="23"/>
      <c r="F523" s="25" t="s">
        <v>1</v>
      </c>
      <c r="G523" s="25" t="s">
        <v>2</v>
      </c>
      <c r="H523" s="25" t="s">
        <v>9</v>
      </c>
      <c r="I523" s="23"/>
    </row>
    <row r="524" spans="1:9" ht="14.45" customHeight="1">
      <c r="A524" s="35"/>
      <c r="B524" s="25">
        <v>1</v>
      </c>
      <c r="C524" s="26" t="str">
        <f>IF('Fee Receipt (Class-wise)'!C943="", "", 'Fee Receipt (Class-wise)'!C943)</f>
        <v>ABENE DUNCAN</v>
      </c>
      <c r="D524" s="25">
        <f>'Fee Receipt (Class-wise)'!K943</f>
        <v>760</v>
      </c>
      <c r="E524" s="23"/>
      <c r="F524" s="25">
        <v>31</v>
      </c>
      <c r="G524" s="26" t="str">
        <f>IF('Fee Receipt (Class-wise)'!C973="", "", 'Fee Receipt (Class-wise)'!C973)</f>
        <v>PORTUPHY OFORIWAA</v>
      </c>
      <c r="H524" s="25">
        <f>'Fee Receipt (Class-wise)'!K973</f>
        <v>160</v>
      </c>
      <c r="I524" s="23"/>
    </row>
    <row r="525" spans="1:9" ht="14.45" customHeight="1">
      <c r="A525" s="35"/>
      <c r="B525" s="25">
        <v>2</v>
      </c>
      <c r="C525" s="26" t="str">
        <f>IF('Fee Receipt (Class-wise)'!C944="", "", 'Fee Receipt (Class-wise)'!C944)</f>
        <v>ADDO FRANCISCA</v>
      </c>
      <c r="D525" s="25">
        <f>'Fee Receipt (Class-wise)'!K944</f>
        <v>60</v>
      </c>
      <c r="E525" s="23"/>
      <c r="F525" s="25">
        <v>32</v>
      </c>
      <c r="G525" s="26" t="str">
        <f>IF('Fee Receipt (Class-wise)'!C974="", "", 'Fee Receipt (Class-wise)'!C974)</f>
        <v>SADIQ ABDUL-SOBUR</v>
      </c>
      <c r="H525" s="25">
        <f>'Fee Receipt (Class-wise)'!K974</f>
        <v>260</v>
      </c>
      <c r="I525" s="23"/>
    </row>
    <row r="526" spans="1:9" ht="14.45" customHeight="1">
      <c r="A526" s="35"/>
      <c r="B526" s="25">
        <v>3</v>
      </c>
      <c r="C526" s="26" t="str">
        <f>IF('Fee Receipt (Class-wise)'!C945="", "", 'Fee Receipt (Class-wise)'!C945)</f>
        <v>ADONU DESMOND</v>
      </c>
      <c r="D526" s="25">
        <f>'Fee Receipt (Class-wise)'!K945</f>
        <v>0</v>
      </c>
      <c r="E526" s="23"/>
      <c r="F526" s="25">
        <v>33</v>
      </c>
      <c r="G526" s="26" t="str">
        <f>IF('Fee Receipt (Class-wise)'!C975="", "", 'Fee Receipt (Class-wise)'!C975)</f>
        <v>SOLODZI NICHOLAS</v>
      </c>
      <c r="H526" s="25">
        <f>'Fee Receipt (Class-wise)'!K975</f>
        <v>360</v>
      </c>
      <c r="I526" s="23"/>
    </row>
    <row r="527" spans="1:9" ht="14.45" customHeight="1">
      <c r="A527" s="35"/>
      <c r="B527" s="25">
        <v>4</v>
      </c>
      <c r="C527" s="26" t="str">
        <f>IF('Fee Receipt (Class-wise)'!C946="", "", 'Fee Receipt (Class-wise)'!C946)</f>
        <v>AGYEKUM DESMOND</v>
      </c>
      <c r="D527" s="25">
        <f>'Fee Receipt (Class-wise)'!K946</f>
        <v>260</v>
      </c>
      <c r="E527" s="23"/>
      <c r="F527" s="25">
        <v>34</v>
      </c>
      <c r="G527" s="26" t="str">
        <f>IF('Fee Receipt (Class-wise)'!C976="", "", 'Fee Receipt (Class-wise)'!C976)</f>
        <v>SORKPOR VERA</v>
      </c>
      <c r="H527" s="25">
        <f>'Fee Receipt (Class-wise)'!K976</f>
        <v>360</v>
      </c>
      <c r="I527" s="23"/>
    </row>
    <row r="528" spans="1:9" ht="14.45" customHeight="1">
      <c r="A528" s="35"/>
      <c r="B528" s="25">
        <v>5</v>
      </c>
      <c r="C528" s="26" t="str">
        <f>IF('Fee Receipt (Class-wise)'!C947="", "", 'Fee Receipt (Class-wise)'!C947)</f>
        <v>AHALIGAH AUGUSTINE</v>
      </c>
      <c r="D528" s="25">
        <f>'Fee Receipt (Class-wise)'!K947</f>
        <v>0</v>
      </c>
      <c r="E528" s="23"/>
      <c r="F528" s="25">
        <v>35</v>
      </c>
      <c r="G528" s="26" t="str">
        <f>IF('Fee Receipt (Class-wise)'!C977="", "", 'Fee Receipt (Class-wise)'!C977)</f>
        <v>TAGBOR PRECIOUS</v>
      </c>
      <c r="H528" s="25">
        <f>'Fee Receipt (Class-wise)'!K977</f>
        <v>260</v>
      </c>
      <c r="I528" s="23"/>
    </row>
    <row r="529" spans="1:9" ht="14.45" customHeight="1">
      <c r="A529" s="35"/>
      <c r="B529" s="25">
        <v>6</v>
      </c>
      <c r="C529" s="26" t="str">
        <f>IF('Fee Receipt (Class-wise)'!C948="", "", 'Fee Receipt (Class-wise)'!C948)</f>
        <v>AMEDZA BENEDICT</v>
      </c>
      <c r="D529" s="25">
        <f>'Fee Receipt (Class-wise)'!K948</f>
        <v>510</v>
      </c>
      <c r="E529" s="23"/>
      <c r="F529" s="25">
        <v>36</v>
      </c>
      <c r="G529" s="26" t="str">
        <f>IF('Fee Receipt (Class-wise)'!C978="", "", 'Fee Receipt (Class-wise)'!C978)</f>
        <v>TSIKATA CHRISTABEL</v>
      </c>
      <c r="H529" s="25">
        <f>'Fee Receipt (Class-wise)'!K978</f>
        <v>0</v>
      </c>
      <c r="I529" s="23"/>
    </row>
    <row r="530" spans="1:9" ht="14.45" customHeight="1">
      <c r="A530" s="35"/>
      <c r="B530" s="25">
        <v>7</v>
      </c>
      <c r="C530" s="26" t="str">
        <f>IF('Fee Receipt (Class-wise)'!C949="", "", 'Fee Receipt (Class-wise)'!C949)</f>
        <v>AMOAKO MARIAM</v>
      </c>
      <c r="D530" s="25">
        <f>'Fee Receipt (Class-wise)'!K949</f>
        <v>0</v>
      </c>
      <c r="E530" s="23"/>
      <c r="F530" s="25">
        <v>37</v>
      </c>
      <c r="G530" s="26" t="str">
        <f>IF('Fee Receipt (Class-wise)'!C979="", "", 'Fee Receipt (Class-wise)'!C979)</f>
        <v>WAYO JOANA</v>
      </c>
      <c r="H530" s="25">
        <f>'Fee Receipt (Class-wise)'!K979</f>
        <v>430</v>
      </c>
      <c r="I530" s="23"/>
    </row>
    <row r="531" spans="1:9" ht="14.45" customHeight="1">
      <c r="A531" s="35"/>
      <c r="B531" s="25">
        <v>8</v>
      </c>
      <c r="C531" s="26" t="str">
        <f>IF('Fee Receipt (Class-wise)'!C950="", "", 'Fee Receipt (Class-wise)'!C950)</f>
        <v>AMPONSAH BENARD</v>
      </c>
      <c r="D531" s="25">
        <f>'Fee Receipt (Class-wise)'!K950</f>
        <v>0</v>
      </c>
      <c r="E531" s="23"/>
      <c r="F531" s="25">
        <v>38</v>
      </c>
      <c r="G531" s="26" t="str">
        <f>IF('Fee Receipt (Class-wise)'!C980="", "", 'Fee Receipt (Class-wise)'!C980)</f>
        <v/>
      </c>
      <c r="H531" s="25">
        <f>'Fee Receipt (Class-wise)'!K980</f>
        <v>760</v>
      </c>
      <c r="I531" s="23"/>
    </row>
    <row r="532" spans="1:9" ht="14.45" customHeight="1">
      <c r="A532" s="35"/>
      <c r="B532" s="25">
        <v>9</v>
      </c>
      <c r="C532" s="26" t="str">
        <f>IF('Fee Receipt (Class-wise)'!C951="", "", 'Fee Receipt (Class-wise)'!C951)</f>
        <v>AMPONSAH N. T GEOGETTE</v>
      </c>
      <c r="D532" s="25">
        <f>'Fee Receipt (Class-wise)'!K951</f>
        <v>260</v>
      </c>
      <c r="E532" s="23"/>
      <c r="F532" s="25">
        <v>39</v>
      </c>
      <c r="G532" s="26" t="str">
        <f>IF('Fee Receipt (Class-wise)'!C981="", "", 'Fee Receipt (Class-wise)'!C981)</f>
        <v/>
      </c>
      <c r="H532" s="25">
        <f>'Fee Receipt (Class-wise)'!K981</f>
        <v>760</v>
      </c>
      <c r="I532" s="23"/>
    </row>
    <row r="533" spans="1:9" ht="14.45" customHeight="1">
      <c r="A533" s="35"/>
      <c r="B533" s="25">
        <v>10</v>
      </c>
      <c r="C533" s="26" t="str">
        <f>IF('Fee Receipt (Class-wise)'!C952="", "", 'Fee Receipt (Class-wise)'!C952)</f>
        <v>ASAAH GEORGETTE</v>
      </c>
      <c r="D533" s="25">
        <f>'Fee Receipt (Class-wise)'!K952</f>
        <v>210</v>
      </c>
      <c r="E533" s="23"/>
      <c r="F533" s="25">
        <v>40</v>
      </c>
      <c r="G533" s="26" t="str">
        <f>IF('Fee Receipt (Class-wise)'!C982="", "", 'Fee Receipt (Class-wise)'!C982)</f>
        <v/>
      </c>
      <c r="H533" s="25">
        <f>'Fee Receipt (Class-wise)'!K982</f>
        <v>760</v>
      </c>
      <c r="I533" s="23"/>
    </row>
    <row r="534" spans="1:9" ht="14.45" customHeight="1">
      <c r="A534" s="35"/>
      <c r="B534" s="25">
        <v>11</v>
      </c>
      <c r="C534" s="26" t="str">
        <f>IF('Fee Receipt (Class-wise)'!C953="", "", 'Fee Receipt (Class-wise)'!C953)</f>
        <v>ASAMOAH MICHEAL</v>
      </c>
      <c r="D534" s="25">
        <f>'Fee Receipt (Class-wise)'!K953</f>
        <v>60</v>
      </c>
      <c r="E534" s="23"/>
      <c r="F534" s="25">
        <v>41</v>
      </c>
      <c r="G534" s="26" t="str">
        <f>IF('Fee Receipt (Class-wise)'!C983="", "", 'Fee Receipt (Class-wise)'!C983)</f>
        <v/>
      </c>
      <c r="H534" s="25">
        <f>'Fee Receipt (Class-wise)'!K983</f>
        <v>760</v>
      </c>
      <c r="I534" s="23"/>
    </row>
    <row r="535" spans="1:9" ht="14.45" customHeight="1">
      <c r="A535" s="35"/>
      <c r="B535" s="25">
        <v>12</v>
      </c>
      <c r="C535" s="26" t="str">
        <f>IF('Fee Receipt (Class-wise)'!C954="", "", 'Fee Receipt (Class-wise)'!C954)</f>
        <v>ASARE MARY</v>
      </c>
      <c r="D535" s="25">
        <f>'Fee Receipt (Class-wise)'!K954</f>
        <v>760</v>
      </c>
      <c r="E535" s="23"/>
      <c r="F535" s="25">
        <v>42</v>
      </c>
      <c r="G535" s="26" t="str">
        <f>IF('Fee Receipt (Class-wise)'!C984="", "", 'Fee Receipt (Class-wise)'!C984)</f>
        <v/>
      </c>
      <c r="H535" s="25">
        <f>'Fee Receipt (Class-wise)'!K984</f>
        <v>760</v>
      </c>
      <c r="I535" s="23"/>
    </row>
    <row r="536" spans="1:9" ht="14.45" customHeight="1">
      <c r="A536" s="35"/>
      <c r="B536" s="25">
        <v>13</v>
      </c>
      <c r="C536" s="26" t="str">
        <f>IF('Fee Receipt (Class-wise)'!C955="", "", 'Fee Receipt (Class-wise)'!C955)</f>
        <v>ASEMDI PAUL</v>
      </c>
      <c r="D536" s="25">
        <f>'Fee Receipt (Class-wise)'!K955</f>
        <v>260</v>
      </c>
      <c r="E536" s="23"/>
      <c r="F536" s="25">
        <v>43</v>
      </c>
      <c r="G536" s="26" t="str">
        <f>IF('Fee Receipt (Class-wise)'!C985="", "", 'Fee Receipt (Class-wise)'!C985)</f>
        <v/>
      </c>
      <c r="H536" s="25">
        <f>'Fee Receipt (Class-wise)'!K985</f>
        <v>760</v>
      </c>
      <c r="I536" s="23"/>
    </row>
    <row r="537" spans="1:9" ht="14.45" customHeight="1">
      <c r="A537" s="35"/>
      <c r="B537" s="25">
        <v>14</v>
      </c>
      <c r="C537" s="26" t="str">
        <f>IF('Fee Receipt (Class-wise)'!C956="", "", 'Fee Receipt (Class-wise)'!C956)</f>
        <v>ATINGA JONAH</v>
      </c>
      <c r="D537" s="25">
        <f>'Fee Receipt (Class-wise)'!K956</f>
        <v>0</v>
      </c>
      <c r="E537" s="23"/>
      <c r="F537" s="25">
        <v>44</v>
      </c>
      <c r="G537" s="26" t="str">
        <f>IF('Fee Receipt (Class-wise)'!C986="", "", 'Fee Receipt (Class-wise)'!C986)</f>
        <v/>
      </c>
      <c r="H537" s="25">
        <f>'Fee Receipt (Class-wise)'!K986</f>
        <v>760</v>
      </c>
      <c r="I537" s="23"/>
    </row>
    <row r="538" spans="1:9" ht="14.45" customHeight="1">
      <c r="A538" s="35"/>
      <c r="B538" s="25">
        <v>15</v>
      </c>
      <c r="C538" s="26" t="str">
        <f>IF('Fee Receipt (Class-wise)'!C957="", "", 'Fee Receipt (Class-wise)'!C957)</f>
        <v>AZIEDZO BENJAMIN</v>
      </c>
      <c r="D538" s="25">
        <f>'Fee Receipt (Class-wise)'!K957</f>
        <v>0</v>
      </c>
      <c r="E538" s="23"/>
      <c r="F538" s="25">
        <v>45</v>
      </c>
      <c r="G538" s="26" t="str">
        <f>IF('Fee Receipt (Class-wise)'!C987="", "", 'Fee Receipt (Class-wise)'!C987)</f>
        <v/>
      </c>
      <c r="H538" s="25">
        <f>'Fee Receipt (Class-wise)'!K987</f>
        <v>760</v>
      </c>
      <c r="I538" s="23"/>
    </row>
    <row r="539" spans="1:9" ht="14.45" customHeight="1">
      <c r="A539" s="35"/>
      <c r="B539" s="25">
        <v>16</v>
      </c>
      <c r="C539" s="26" t="str">
        <f>IF('Fee Receipt (Class-wise)'!C958="", "", 'Fee Receipt (Class-wise)'!C958)</f>
        <v>BINNEY JEPHTER</v>
      </c>
      <c r="D539" s="25">
        <f>'Fee Receipt (Class-wise)'!K958</f>
        <v>0</v>
      </c>
      <c r="E539" s="23"/>
      <c r="F539" s="25">
        <v>46</v>
      </c>
      <c r="G539" s="26" t="str">
        <f>IF('Fee Receipt (Class-wise)'!C988="", "", 'Fee Receipt (Class-wise)'!C988)</f>
        <v/>
      </c>
      <c r="H539" s="25">
        <f>'Fee Receipt (Class-wise)'!K988</f>
        <v>760</v>
      </c>
      <c r="I539" s="23"/>
    </row>
    <row r="540" spans="1:9" ht="14.45" customHeight="1">
      <c r="A540" s="35"/>
      <c r="B540" s="25">
        <v>17</v>
      </c>
      <c r="C540" s="26" t="str">
        <f>IF('Fee Receipt (Class-wise)'!C959="", "", 'Fee Receipt (Class-wise)'!C959)</f>
        <v>DRAH JOEL</v>
      </c>
      <c r="D540" s="25">
        <f>'Fee Receipt (Class-wise)'!K959</f>
        <v>460</v>
      </c>
      <c r="E540" s="23"/>
      <c r="F540" s="25">
        <v>47</v>
      </c>
      <c r="G540" s="26" t="str">
        <f>IF('Fee Receipt (Class-wise)'!C989="", "", 'Fee Receipt (Class-wise)'!C989)</f>
        <v/>
      </c>
      <c r="H540" s="25">
        <f>'Fee Receipt (Class-wise)'!K989</f>
        <v>760</v>
      </c>
      <c r="I540" s="23"/>
    </row>
    <row r="541" spans="1:9" ht="14.45" customHeight="1">
      <c r="A541" s="35"/>
      <c r="B541" s="25">
        <v>18</v>
      </c>
      <c r="C541" s="26" t="str">
        <f>IF('Fee Receipt (Class-wise)'!C960="", "", 'Fee Receipt (Class-wise)'!C960)</f>
        <v>DUHO BRIGHT</v>
      </c>
      <c r="D541" s="25">
        <f>'Fee Receipt (Class-wise)'!K960</f>
        <v>540</v>
      </c>
      <c r="E541" s="23"/>
      <c r="F541" s="25">
        <v>48</v>
      </c>
      <c r="G541" s="26" t="str">
        <f>IF('Fee Receipt (Class-wise)'!C990="", "", 'Fee Receipt (Class-wise)'!C990)</f>
        <v/>
      </c>
      <c r="H541" s="25">
        <f>'Fee Receipt (Class-wise)'!K990</f>
        <v>760</v>
      </c>
      <c r="I541" s="23"/>
    </row>
    <row r="542" spans="1:9" ht="14.45" customHeight="1">
      <c r="A542" s="35"/>
      <c r="B542" s="25">
        <v>19</v>
      </c>
      <c r="C542" s="26" t="str">
        <f>IF('Fee Receipt (Class-wise)'!C961="", "", 'Fee Receipt (Class-wise)'!C961)</f>
        <v>EDUAH CHRISTABEL</v>
      </c>
      <c r="D542" s="25">
        <f>'Fee Receipt (Class-wise)'!K961</f>
        <v>760</v>
      </c>
      <c r="E542" s="23"/>
      <c r="F542" s="25">
        <v>49</v>
      </c>
      <c r="G542" s="26" t="str">
        <f>IF('Fee Receipt (Class-wise)'!C991="", "", 'Fee Receipt (Class-wise)'!C991)</f>
        <v/>
      </c>
      <c r="H542" s="25">
        <f>'Fee Receipt (Class-wise)'!K991</f>
        <v>760</v>
      </c>
      <c r="I542" s="23"/>
    </row>
    <row r="543" spans="1:9" ht="14.45" customHeight="1">
      <c r="A543" s="35"/>
      <c r="B543" s="25">
        <v>20</v>
      </c>
      <c r="C543" s="26" t="str">
        <f>IF('Fee Receipt (Class-wise)'!C962="", "", 'Fee Receipt (Class-wise)'!C962)</f>
        <v>EDUNYA GODFRED</v>
      </c>
      <c r="D543" s="25">
        <f>'Fee Receipt (Class-wise)'!K962</f>
        <v>260</v>
      </c>
      <c r="E543" s="23"/>
      <c r="F543" s="25">
        <v>50</v>
      </c>
      <c r="G543" s="26" t="str">
        <f>IF('Fee Receipt (Class-wise)'!C992="", "", 'Fee Receipt (Class-wise)'!C992)</f>
        <v/>
      </c>
      <c r="H543" s="25">
        <f>'Fee Receipt (Class-wise)'!K992</f>
        <v>760</v>
      </c>
      <c r="I543" s="23"/>
    </row>
    <row r="544" spans="1:9" ht="14.45" customHeight="1">
      <c r="A544" s="35"/>
      <c r="B544" s="25">
        <v>21</v>
      </c>
      <c r="C544" s="26" t="str">
        <f>IF('Fee Receipt (Class-wise)'!C963="", "", 'Fee Receipt (Class-wise)'!C963)</f>
        <v>ENNING BELISA</v>
      </c>
      <c r="D544" s="25">
        <f>'Fee Receipt (Class-wise)'!K963</f>
        <v>360</v>
      </c>
      <c r="E544" s="23"/>
      <c r="F544" s="25">
        <v>51</v>
      </c>
      <c r="G544" s="26" t="str">
        <f>IF('Fee Receipt (Class-wise)'!C993="", "", 'Fee Receipt (Class-wise)'!C993)</f>
        <v/>
      </c>
      <c r="H544" s="25">
        <f>'Fee Receipt (Class-wise)'!K993</f>
        <v>760</v>
      </c>
      <c r="I544" s="23"/>
    </row>
    <row r="545" spans="1:9" ht="14.45" customHeight="1">
      <c r="A545" s="35"/>
      <c r="B545" s="25">
        <v>22</v>
      </c>
      <c r="C545" s="26" t="str">
        <f>IF('Fee Receipt (Class-wise)'!C964="", "", 'Fee Receipt (Class-wise)'!C964)</f>
        <v>FERKA OBENEWAA KEZIA</v>
      </c>
      <c r="D545" s="25">
        <f>'Fee Receipt (Class-wise)'!K964</f>
        <v>360</v>
      </c>
      <c r="E545" s="23"/>
      <c r="F545" s="25">
        <v>52</v>
      </c>
      <c r="G545" s="26" t="str">
        <f>IF('Fee Receipt (Class-wise)'!C994="", "", 'Fee Receipt (Class-wise)'!C994)</f>
        <v/>
      </c>
      <c r="H545" s="25">
        <f>'Fee Receipt (Class-wise)'!K994</f>
        <v>760</v>
      </c>
      <c r="I545" s="23"/>
    </row>
    <row r="546" spans="1:9" ht="14.45" customHeight="1">
      <c r="A546" s="35"/>
      <c r="B546" s="25">
        <v>23</v>
      </c>
      <c r="C546" s="26" t="str">
        <f>IF('Fee Receipt (Class-wise)'!C965="", "", 'Fee Receipt (Class-wise)'!C965)</f>
        <v>GBAFA MOSES</v>
      </c>
      <c r="D546" s="25">
        <f>'Fee Receipt (Class-wise)'!K965</f>
        <v>460</v>
      </c>
      <c r="E546" s="23"/>
      <c r="F546" s="25">
        <v>53</v>
      </c>
      <c r="G546" s="26" t="str">
        <f>IF('Fee Receipt (Class-wise)'!C995="", "", 'Fee Receipt (Class-wise)'!C995)</f>
        <v/>
      </c>
      <c r="H546" s="25">
        <f>'Fee Receipt (Class-wise)'!K995</f>
        <v>760</v>
      </c>
      <c r="I546" s="23"/>
    </row>
    <row r="547" spans="1:9" ht="14.45" customHeight="1">
      <c r="A547" s="35"/>
      <c r="B547" s="25">
        <v>24</v>
      </c>
      <c r="C547" s="26" t="str">
        <f>IF('Fee Receipt (Class-wise)'!C966="", "", 'Fee Receipt (Class-wise)'!C966)</f>
        <v>KORANTENG DANIEL</v>
      </c>
      <c r="D547" s="25">
        <f>'Fee Receipt (Class-wise)'!K966</f>
        <v>460</v>
      </c>
      <c r="E547" s="23"/>
      <c r="F547" s="25">
        <v>54</v>
      </c>
      <c r="G547" s="26" t="str">
        <f>IF('Fee Receipt (Class-wise)'!C996="", "", 'Fee Receipt (Class-wise)'!C996)</f>
        <v/>
      </c>
      <c r="H547" s="25">
        <f>'Fee Receipt (Class-wise)'!K996</f>
        <v>760</v>
      </c>
      <c r="I547" s="23"/>
    </row>
    <row r="548" spans="1:9" ht="14.45" customHeight="1">
      <c r="A548" s="35"/>
      <c r="B548" s="25">
        <v>25</v>
      </c>
      <c r="C548" s="26" t="str">
        <f>IF('Fee Receipt (Class-wise)'!C967="", "", 'Fee Receipt (Class-wise)'!C967)</f>
        <v>KORKOR MICHELLE</v>
      </c>
      <c r="D548" s="25">
        <f>'Fee Receipt (Class-wise)'!K967</f>
        <v>760</v>
      </c>
      <c r="E548" s="23"/>
      <c r="F548" s="25">
        <v>55</v>
      </c>
      <c r="G548" s="26" t="str">
        <f>IF('Fee Receipt (Class-wise)'!C997="", "", 'Fee Receipt (Class-wise)'!C997)</f>
        <v/>
      </c>
      <c r="H548" s="25">
        <f>'Fee Receipt (Class-wise)'!K997</f>
        <v>760</v>
      </c>
      <c r="I548" s="23"/>
    </row>
    <row r="549" spans="1:9" ht="14.45" customHeight="1">
      <c r="A549" s="35"/>
      <c r="B549" s="25">
        <v>26</v>
      </c>
      <c r="C549" s="26" t="str">
        <f>IF('Fee Receipt (Class-wise)'!C968="", "", 'Fee Receipt (Class-wise)'!C968)</f>
        <v>MARFO BOATEMAA</v>
      </c>
      <c r="D549" s="25">
        <f>'Fee Receipt (Class-wise)'!K968</f>
        <v>260</v>
      </c>
      <c r="E549" s="23"/>
      <c r="F549" s="25">
        <v>56</v>
      </c>
      <c r="G549" s="26" t="str">
        <f>IF('Fee Receipt (Class-wise)'!C998="", "", 'Fee Receipt (Class-wise)'!C998)</f>
        <v/>
      </c>
      <c r="H549" s="25">
        <f>'Fee Receipt (Class-wise)'!K998</f>
        <v>760</v>
      </c>
      <c r="I549" s="23"/>
    </row>
    <row r="550" spans="1:9" ht="14.45" customHeight="1">
      <c r="A550" s="35"/>
      <c r="B550" s="25">
        <v>27</v>
      </c>
      <c r="C550" s="26" t="str">
        <f>IF('Fee Receipt (Class-wise)'!C969="", "", 'Fee Receipt (Class-wise)'!C969)</f>
        <v>MOHAMMED AL-KAIRU</v>
      </c>
      <c r="D550" s="25">
        <f>'Fee Receipt (Class-wise)'!K969</f>
        <v>0</v>
      </c>
      <c r="E550" s="23"/>
      <c r="F550" s="25">
        <v>57</v>
      </c>
      <c r="G550" s="26" t="str">
        <f>IF('Fee Receipt (Class-wise)'!C999="", "", 'Fee Receipt (Class-wise)'!C999)</f>
        <v/>
      </c>
      <c r="H550" s="25">
        <f>'Fee Receipt (Class-wise)'!K999</f>
        <v>760</v>
      </c>
      <c r="I550" s="23"/>
    </row>
    <row r="551" spans="1:9" ht="14.45" customHeight="1">
      <c r="A551" s="35"/>
      <c r="B551" s="25">
        <v>28</v>
      </c>
      <c r="C551" s="26" t="str">
        <f>IF('Fee Receipt (Class-wise)'!C970="", "", 'Fee Receipt (Class-wise)'!C970)</f>
        <v>OKRAH JUANITA</v>
      </c>
      <c r="D551" s="25">
        <f>'Fee Receipt (Class-wise)'!K970</f>
        <v>460</v>
      </c>
      <c r="E551" s="23"/>
      <c r="F551" s="25">
        <v>58</v>
      </c>
      <c r="G551" s="26" t="str">
        <f>IF('Fee Receipt (Class-wise)'!C1000="", "", 'Fee Receipt (Class-wise)'!C1000)</f>
        <v/>
      </c>
      <c r="H551" s="25">
        <f>'Fee Receipt (Class-wise)'!K1000</f>
        <v>760</v>
      </c>
      <c r="I551" s="23"/>
    </row>
    <row r="552" spans="1:9" ht="14.45" customHeight="1">
      <c r="A552" s="35"/>
      <c r="B552" s="25">
        <v>29</v>
      </c>
      <c r="C552" s="26" t="str">
        <f>IF('Fee Receipt (Class-wise)'!C971="", "", 'Fee Receipt (Class-wise)'!C971)</f>
        <v>OPARE NHYIRABA</v>
      </c>
      <c r="D552" s="25">
        <f>'Fee Receipt (Class-wise)'!K971</f>
        <v>360</v>
      </c>
      <c r="E552" s="23"/>
      <c r="F552" s="25">
        <v>59</v>
      </c>
      <c r="G552" s="26" t="str">
        <f>IF('Fee Receipt (Class-wise)'!C1001="", "", 'Fee Receipt (Class-wise)'!C1001)</f>
        <v/>
      </c>
      <c r="H552" s="25">
        <f>'Fee Receipt (Class-wise)'!K1001</f>
        <v>760</v>
      </c>
      <c r="I552" s="23"/>
    </row>
    <row r="553" spans="1:9" ht="14.45" customHeight="1">
      <c r="A553" s="35"/>
      <c r="B553" s="25">
        <v>30</v>
      </c>
      <c r="C553" s="26" t="str">
        <f>IF('Fee Receipt (Class-wise)'!C972="", "", 'Fee Receipt (Class-wise)'!C972)</f>
        <v>OWUSU-BEDIAKO GERALDINE</v>
      </c>
      <c r="D553" s="25">
        <f>'Fee Receipt (Class-wise)'!K972</f>
        <v>260</v>
      </c>
      <c r="E553" s="23"/>
      <c r="F553" s="25">
        <v>60</v>
      </c>
      <c r="G553" s="26" t="str">
        <f>IF('Fee Receipt (Class-wise)'!C1002="", "", 'Fee Receipt (Class-wise)'!C1002)</f>
        <v/>
      </c>
      <c r="H553" s="25">
        <f>'Fee Receipt (Class-wise)'!K1002</f>
        <v>760</v>
      </c>
      <c r="I553" s="23"/>
    </row>
    <row r="554" spans="1:9" ht="14.45" customHeight="1">
      <c r="A554" s="35"/>
      <c r="B554" s="25"/>
      <c r="C554" s="23"/>
      <c r="D554" s="23"/>
      <c r="E554" s="23"/>
      <c r="F554" s="33" t="s">
        <v>31</v>
      </c>
      <c r="G554" s="33"/>
      <c r="H554" s="24">
        <f>SUM(D524:D553)+SUM(H524:H553)</f>
        <v>28210</v>
      </c>
      <c r="I554" s="23"/>
    </row>
    <row r="555" spans="1:9" ht="14.45" customHeight="1">
      <c r="B555" s="23"/>
      <c r="C555" s="23"/>
      <c r="D555" s="23"/>
      <c r="E555" s="23"/>
      <c r="F555" s="23"/>
      <c r="G555" s="23"/>
      <c r="H555" s="23"/>
      <c r="I555" s="23"/>
    </row>
    <row r="556" spans="1:9" ht="14.45" customHeight="1">
      <c r="B556" s="23"/>
      <c r="C556" s="23"/>
      <c r="D556" s="23"/>
      <c r="E556" s="23"/>
      <c r="F556" s="23"/>
      <c r="G556" s="23"/>
      <c r="H556" s="23"/>
      <c r="I556" s="23"/>
    </row>
    <row r="557" spans="1:9" ht="14.45" customHeight="1">
      <c r="A557" s="49">
        <v>16</v>
      </c>
      <c r="B557" s="35" t="s">
        <v>33</v>
      </c>
      <c r="C557" s="35"/>
      <c r="D557" s="35"/>
      <c r="E557" s="35"/>
      <c r="F557" s="35"/>
      <c r="G557" s="35"/>
      <c r="H557" s="24" t="s">
        <v>36</v>
      </c>
      <c r="I557" s="23"/>
    </row>
    <row r="558" spans="1:9" ht="14.45" customHeight="1">
      <c r="A558" s="49"/>
      <c r="B558" s="23" t="s">
        <v>35</v>
      </c>
      <c r="C558" s="50" t="str">
        <f>IF('Fee Receipt (Class-wise)'!C1007="", "", 'Fee Receipt (Class-wise)'!C1007)</f>
        <v>BASIC 6A</v>
      </c>
      <c r="D558" s="50"/>
      <c r="E558" s="23"/>
      <c r="F558" s="23"/>
      <c r="G558" s="23"/>
      <c r="H558" s="49">
        <f>IF(C558="", "", H591)</f>
        <v>27280</v>
      </c>
      <c r="I558" s="23"/>
    </row>
    <row r="559" spans="1:9" ht="14.45" customHeight="1">
      <c r="A559" s="49"/>
      <c r="B559" s="23" t="s">
        <v>34</v>
      </c>
      <c r="C559" s="50" t="str">
        <f>IF(C558="", "", 'Fee Receipt (Class-wise)'!$H$2)</f>
        <v>2025-26</v>
      </c>
      <c r="D559" s="50"/>
      <c r="E559" s="23"/>
      <c r="F559" s="23"/>
      <c r="G559" s="23"/>
      <c r="H559" s="49"/>
      <c r="I559" s="23"/>
    </row>
    <row r="560" spans="1:9" ht="14.45" customHeight="1">
      <c r="A560" s="35"/>
      <c r="B560" s="25" t="s">
        <v>1</v>
      </c>
      <c r="C560" s="25" t="s">
        <v>2</v>
      </c>
      <c r="D560" s="25" t="s">
        <v>9</v>
      </c>
      <c r="E560" s="23"/>
      <c r="F560" s="25" t="s">
        <v>1</v>
      </c>
      <c r="G560" s="25" t="s">
        <v>2</v>
      </c>
      <c r="H560" s="25" t="s">
        <v>9</v>
      </c>
      <c r="I560" s="23"/>
    </row>
    <row r="561" spans="1:9" ht="14.45" customHeight="1">
      <c r="A561" s="35"/>
      <c r="B561" s="25">
        <v>1</v>
      </c>
      <c r="C561" s="26" t="str">
        <f>IF('Fee Receipt (Class-wise)'!C1010="", "", 'Fee Receipt (Class-wise)'!C1010)</f>
        <v>ADDEY JERRY</v>
      </c>
      <c r="D561" s="25">
        <f>'Fee Receipt (Class-wise)'!K1010</f>
        <v>0</v>
      </c>
      <c r="E561" s="23"/>
      <c r="F561" s="25">
        <v>31</v>
      </c>
      <c r="G561" s="26" t="str">
        <f>IF('Fee Receipt (Class-wise)'!C1040="", "", 'Fee Receipt (Class-wise)'!C1040)</f>
        <v>OTOO JOHN</v>
      </c>
      <c r="H561" s="25">
        <f>'Fee Receipt (Class-wise)'!K1040</f>
        <v>0</v>
      </c>
      <c r="I561" s="23"/>
    </row>
    <row r="562" spans="1:9" ht="14.45" customHeight="1">
      <c r="A562" s="35"/>
      <c r="B562" s="25">
        <v>2</v>
      </c>
      <c r="C562" s="26" t="str">
        <f>IF('Fee Receipt (Class-wise)'!C1011="", "", 'Fee Receipt (Class-wise)'!C1011)</f>
        <v>ADDO G. VANESSA</v>
      </c>
      <c r="D562" s="25">
        <f>'Fee Receipt (Class-wise)'!K1011</f>
        <v>0</v>
      </c>
      <c r="E562" s="23"/>
      <c r="F562" s="25">
        <v>32</v>
      </c>
      <c r="G562" s="26" t="str">
        <f>IF('Fee Receipt (Class-wise)'!C1041="", "", 'Fee Receipt (Class-wise)'!C1041)</f>
        <v>QUANSAH LANDIS</v>
      </c>
      <c r="H562" s="25">
        <f>'Fee Receipt (Class-wise)'!K1041</f>
        <v>760</v>
      </c>
      <c r="I562" s="23"/>
    </row>
    <row r="563" spans="1:9" ht="14.45" customHeight="1">
      <c r="A563" s="35"/>
      <c r="B563" s="25">
        <v>3</v>
      </c>
      <c r="C563" s="26" t="str">
        <f>IF('Fee Receipt (Class-wise)'!C1012="", "", 'Fee Receipt (Class-wise)'!C1012)</f>
        <v>ADDO YAKUBU</v>
      </c>
      <c r="D563" s="25">
        <f>'Fee Receipt (Class-wise)'!K1012</f>
        <v>360</v>
      </c>
      <c r="E563" s="23"/>
      <c r="F563" s="25">
        <v>33</v>
      </c>
      <c r="G563" s="26" t="str">
        <f>IF('Fee Receipt (Class-wise)'!C1042="", "", 'Fee Receipt (Class-wise)'!C1042)</f>
        <v>SACKEY MICHAEL</v>
      </c>
      <c r="H563" s="25">
        <f>'Fee Receipt (Class-wise)'!K1042</f>
        <v>360</v>
      </c>
      <c r="I563" s="23"/>
    </row>
    <row r="564" spans="1:9" ht="14.45" customHeight="1">
      <c r="A564" s="35"/>
      <c r="B564" s="25">
        <v>4</v>
      </c>
      <c r="C564" s="26" t="str">
        <f>IF('Fee Receipt (Class-wise)'!C1013="", "", 'Fee Receipt (Class-wise)'!C1013)</f>
        <v>AHORLU WILHEM</v>
      </c>
      <c r="D564" s="25">
        <f>'Fee Receipt (Class-wise)'!K1013</f>
        <v>260</v>
      </c>
      <c r="E564" s="23"/>
      <c r="F564" s="25">
        <v>34</v>
      </c>
      <c r="G564" s="26" t="str">
        <f>IF('Fee Receipt (Class-wise)'!C1043="", "", 'Fee Receipt (Class-wise)'!C1043)</f>
        <v>SARFOA YAA AFRIYIE</v>
      </c>
      <c r="H564" s="25">
        <f>'Fee Receipt (Class-wise)'!K1043</f>
        <v>0</v>
      </c>
      <c r="I564" s="23"/>
    </row>
    <row r="565" spans="1:9" ht="14.45" customHeight="1">
      <c r="A565" s="35"/>
      <c r="B565" s="25">
        <v>5</v>
      </c>
      <c r="C565" s="26" t="str">
        <f>IF('Fee Receipt (Class-wise)'!C1014="", "", 'Fee Receipt (Class-wise)'!C1014)</f>
        <v>AMANOR ANNABEL</v>
      </c>
      <c r="D565" s="25">
        <f>'Fee Receipt (Class-wise)'!K1014</f>
        <v>760</v>
      </c>
      <c r="E565" s="23"/>
      <c r="F565" s="25">
        <v>35</v>
      </c>
      <c r="G565" s="26" t="str">
        <f>IF('Fee Receipt (Class-wise)'!C1044="", "", 'Fee Receipt (Class-wise)'!C1044)</f>
        <v>SIMPINI EMMANUELLA</v>
      </c>
      <c r="H565" s="25">
        <f>'Fee Receipt (Class-wise)'!K1044</f>
        <v>0</v>
      </c>
      <c r="I565" s="23"/>
    </row>
    <row r="566" spans="1:9" ht="14.45" customHeight="1">
      <c r="A566" s="35"/>
      <c r="B566" s="25">
        <v>6</v>
      </c>
      <c r="C566" s="26" t="str">
        <f>IF('Fee Receipt (Class-wise)'!C1015="", "", 'Fee Receipt (Class-wise)'!C1015)</f>
        <v>AMPONSAH GERALD</v>
      </c>
      <c r="D566" s="25">
        <f>'Fee Receipt (Class-wise)'!K1015</f>
        <v>560</v>
      </c>
      <c r="E566" s="23"/>
      <c r="F566" s="25">
        <v>36</v>
      </c>
      <c r="G566" s="26" t="str">
        <f>IF('Fee Receipt (Class-wise)'!C1045="", "", 'Fee Receipt (Class-wise)'!C1045)</f>
        <v>TEMEREKU LORETTA</v>
      </c>
      <c r="H566" s="25">
        <f>'Fee Receipt (Class-wise)'!K1045</f>
        <v>560</v>
      </c>
      <c r="I566" s="23"/>
    </row>
    <row r="567" spans="1:9" ht="14.45" customHeight="1">
      <c r="A567" s="35"/>
      <c r="B567" s="25">
        <v>7</v>
      </c>
      <c r="C567" s="26" t="str">
        <f>IF('Fee Receipt (Class-wise)'!C1016="", "", 'Fee Receipt (Class-wise)'!C1016)</f>
        <v>ARTHUR CALDWELL</v>
      </c>
      <c r="D567" s="25">
        <f>'Fee Receipt (Class-wise)'!K1016</f>
        <v>0</v>
      </c>
      <c r="E567" s="23"/>
      <c r="F567" s="25">
        <v>37</v>
      </c>
      <c r="G567" s="26" t="str">
        <f>IF('Fee Receipt (Class-wise)'!C1046="", "", 'Fee Receipt (Class-wise)'!C1046)</f>
        <v>ZAKARIA TIYUMBA</v>
      </c>
      <c r="H567" s="25">
        <f>'Fee Receipt (Class-wise)'!K1046</f>
        <v>0</v>
      </c>
      <c r="I567" s="23"/>
    </row>
    <row r="568" spans="1:9" ht="14.45" customHeight="1">
      <c r="A568" s="35"/>
      <c r="B568" s="25">
        <v>8</v>
      </c>
      <c r="C568" s="26" t="str">
        <f>IF('Fee Receipt (Class-wise)'!C1017="", "", 'Fee Receipt (Class-wise)'!C1017)</f>
        <v>ARTHUR ELLEN</v>
      </c>
      <c r="D568" s="25">
        <f>'Fee Receipt (Class-wise)'!K1017</f>
        <v>560</v>
      </c>
      <c r="E568" s="23"/>
      <c r="F568" s="25">
        <v>38</v>
      </c>
      <c r="G568" s="26" t="str">
        <f>IF('Fee Receipt (Class-wise)'!C1047="", "", 'Fee Receipt (Class-wise)'!C1047)</f>
        <v/>
      </c>
      <c r="H568" s="25">
        <f>'Fee Receipt (Class-wise)'!K1047</f>
        <v>760</v>
      </c>
      <c r="I568" s="23"/>
    </row>
    <row r="569" spans="1:9" ht="14.45" customHeight="1">
      <c r="A569" s="35"/>
      <c r="B569" s="25">
        <v>9</v>
      </c>
      <c r="C569" s="26" t="str">
        <f>IF('Fee Receipt (Class-wise)'!C1018="", "", 'Fee Receipt (Class-wise)'!C1018)</f>
        <v>ASAMOAH VANESSA</v>
      </c>
      <c r="D569" s="25">
        <f>'Fee Receipt (Class-wise)'!K1018</f>
        <v>0</v>
      </c>
      <c r="E569" s="23"/>
      <c r="F569" s="25">
        <v>39</v>
      </c>
      <c r="G569" s="26" t="str">
        <f>IF('Fee Receipt (Class-wise)'!C1048="", "", 'Fee Receipt (Class-wise)'!C1048)</f>
        <v/>
      </c>
      <c r="H569" s="25">
        <f>'Fee Receipt (Class-wise)'!K1048</f>
        <v>760</v>
      </c>
      <c r="I569" s="23"/>
    </row>
    <row r="570" spans="1:9" ht="14.45" customHeight="1">
      <c r="A570" s="35"/>
      <c r="B570" s="25">
        <v>10</v>
      </c>
      <c r="C570" s="26" t="str">
        <f>IF('Fee Receipt (Class-wise)'!C1019="", "", 'Fee Receipt (Class-wise)'!C1019)</f>
        <v>ASANTE CLIFFORD</v>
      </c>
      <c r="D570" s="25">
        <f>'Fee Receipt (Class-wise)'!K1019</f>
        <v>0</v>
      </c>
      <c r="E570" s="23"/>
      <c r="F570" s="25">
        <v>40</v>
      </c>
      <c r="G570" s="26" t="str">
        <f>IF('Fee Receipt (Class-wise)'!C1049="", "", 'Fee Receipt (Class-wise)'!C1049)</f>
        <v/>
      </c>
      <c r="H570" s="25">
        <f>'Fee Receipt (Class-wise)'!K1049</f>
        <v>760</v>
      </c>
      <c r="I570" s="23"/>
    </row>
    <row r="571" spans="1:9" ht="14.45" customHeight="1">
      <c r="A571" s="35"/>
      <c r="B571" s="25">
        <v>11</v>
      </c>
      <c r="C571" s="26" t="str">
        <f>IF('Fee Receipt (Class-wise)'!C1020="", "", 'Fee Receipt (Class-wise)'!C1020)</f>
        <v>ASARE PENIEL</v>
      </c>
      <c r="D571" s="25">
        <f>'Fee Receipt (Class-wise)'!K1020</f>
        <v>420</v>
      </c>
      <c r="E571" s="23"/>
      <c r="F571" s="25">
        <v>41</v>
      </c>
      <c r="G571" s="26" t="str">
        <f>IF('Fee Receipt (Class-wise)'!C1050="", "", 'Fee Receipt (Class-wise)'!C1050)</f>
        <v/>
      </c>
      <c r="H571" s="25">
        <f>'Fee Receipt (Class-wise)'!K1050</f>
        <v>760</v>
      </c>
      <c r="I571" s="23"/>
    </row>
    <row r="572" spans="1:9" ht="14.45" customHeight="1">
      <c r="A572" s="35"/>
      <c r="B572" s="25">
        <v>12</v>
      </c>
      <c r="C572" s="26" t="str">
        <f>IF('Fee Receipt (Class-wise)'!C1021="", "", 'Fee Receipt (Class-wise)'!C1021)</f>
        <v>AWATEY GRANT</v>
      </c>
      <c r="D572" s="25">
        <f>'Fee Receipt (Class-wise)'!K1021</f>
        <v>0</v>
      </c>
      <c r="E572" s="23"/>
      <c r="F572" s="25">
        <v>42</v>
      </c>
      <c r="G572" s="26" t="str">
        <f>IF('Fee Receipt (Class-wise)'!C1051="", "", 'Fee Receipt (Class-wise)'!C1051)</f>
        <v/>
      </c>
      <c r="H572" s="25">
        <f>'Fee Receipt (Class-wise)'!K1051</f>
        <v>760</v>
      </c>
      <c r="I572" s="23"/>
    </row>
    <row r="573" spans="1:9" ht="14.45" customHeight="1">
      <c r="A573" s="35"/>
      <c r="B573" s="25">
        <v>13</v>
      </c>
      <c r="C573" s="26" t="str">
        <f>IF('Fee Receipt (Class-wise)'!C1022="", "", 'Fee Receipt (Class-wise)'!C1022)</f>
        <v>BINNEY RAYMOND</v>
      </c>
      <c r="D573" s="25">
        <f>'Fee Receipt (Class-wise)'!K1022</f>
        <v>0</v>
      </c>
      <c r="E573" s="23"/>
      <c r="F573" s="25">
        <v>43</v>
      </c>
      <c r="G573" s="26" t="str">
        <f>IF('Fee Receipt (Class-wise)'!C1052="", "", 'Fee Receipt (Class-wise)'!C1052)</f>
        <v/>
      </c>
      <c r="H573" s="25">
        <f>'Fee Receipt (Class-wise)'!K1052</f>
        <v>760</v>
      </c>
      <c r="I573" s="23"/>
    </row>
    <row r="574" spans="1:9" ht="14.45" customHeight="1">
      <c r="A574" s="35"/>
      <c r="B574" s="25">
        <v>14</v>
      </c>
      <c r="C574" s="26" t="str">
        <f>IF('Fee Receipt (Class-wise)'!C1023="", "", 'Fee Receipt (Class-wise)'!C1023)</f>
        <v>BLERPO REGINA</v>
      </c>
      <c r="D574" s="25">
        <f>'Fee Receipt (Class-wise)'!K1023</f>
        <v>0</v>
      </c>
      <c r="E574" s="23"/>
      <c r="F574" s="25">
        <v>44</v>
      </c>
      <c r="G574" s="26" t="str">
        <f>IF('Fee Receipt (Class-wise)'!C1053="", "", 'Fee Receipt (Class-wise)'!C1053)</f>
        <v/>
      </c>
      <c r="H574" s="25">
        <f>'Fee Receipt (Class-wise)'!K1053</f>
        <v>760</v>
      </c>
      <c r="I574" s="23"/>
    </row>
    <row r="575" spans="1:9" ht="14.45" customHeight="1">
      <c r="A575" s="35"/>
      <c r="B575" s="25">
        <v>15</v>
      </c>
      <c r="C575" s="26" t="str">
        <f>IF('Fee Receipt (Class-wise)'!C1024="", "", 'Fee Receipt (Class-wise)'!C1024)</f>
        <v>BOADI AYEYI</v>
      </c>
      <c r="D575" s="25">
        <f>'Fee Receipt (Class-wise)'!K1024</f>
        <v>760</v>
      </c>
      <c r="E575" s="23"/>
      <c r="F575" s="25">
        <v>45</v>
      </c>
      <c r="G575" s="26" t="str">
        <f>IF('Fee Receipt (Class-wise)'!C1054="", "", 'Fee Receipt (Class-wise)'!C1054)</f>
        <v/>
      </c>
      <c r="H575" s="25">
        <f>'Fee Receipt (Class-wise)'!K1054</f>
        <v>760</v>
      </c>
      <c r="I575" s="23"/>
    </row>
    <row r="576" spans="1:9" ht="14.45" customHeight="1">
      <c r="A576" s="35"/>
      <c r="B576" s="25">
        <v>16</v>
      </c>
      <c r="C576" s="26" t="str">
        <f>IF('Fee Receipt (Class-wise)'!C1025="", "", 'Fee Receipt (Class-wise)'!C1025)</f>
        <v>DJAGBATEY LORDINA</v>
      </c>
      <c r="D576" s="25">
        <f>'Fee Receipt (Class-wise)'!K1025</f>
        <v>260</v>
      </c>
      <c r="E576" s="23"/>
      <c r="F576" s="25">
        <v>46</v>
      </c>
      <c r="G576" s="26" t="str">
        <f>IF('Fee Receipt (Class-wise)'!C1055="", "", 'Fee Receipt (Class-wise)'!C1055)</f>
        <v/>
      </c>
      <c r="H576" s="25">
        <f>'Fee Receipt (Class-wise)'!K1055</f>
        <v>760</v>
      </c>
      <c r="I576" s="23"/>
    </row>
    <row r="577" spans="1:9" ht="14.45" customHeight="1">
      <c r="A577" s="35"/>
      <c r="B577" s="25">
        <v>17</v>
      </c>
      <c r="C577" s="26" t="str">
        <f>IF('Fee Receipt (Class-wise)'!C1026="", "", 'Fee Receipt (Class-wise)'!C1026)</f>
        <v xml:space="preserve">EDUAH PRISCILLA </v>
      </c>
      <c r="D577" s="25">
        <f>'Fee Receipt (Class-wise)'!K1026</f>
        <v>760</v>
      </c>
      <c r="E577" s="23"/>
      <c r="F577" s="25">
        <v>47</v>
      </c>
      <c r="G577" s="26" t="str">
        <f>IF('Fee Receipt (Class-wise)'!C1056="", "", 'Fee Receipt (Class-wise)'!C1056)</f>
        <v/>
      </c>
      <c r="H577" s="25">
        <f>'Fee Receipt (Class-wise)'!K1056</f>
        <v>760</v>
      </c>
      <c r="I577" s="23"/>
    </row>
    <row r="578" spans="1:9" ht="14.45" customHeight="1">
      <c r="A578" s="35"/>
      <c r="B578" s="25">
        <v>18</v>
      </c>
      <c r="C578" s="26" t="str">
        <f>IF('Fee Receipt (Class-wise)'!C1027="", "", 'Fee Receipt (Class-wise)'!C1027)</f>
        <v>FEYI EMMANUELLA</v>
      </c>
      <c r="D578" s="25">
        <f>'Fee Receipt (Class-wise)'!K1027</f>
        <v>0</v>
      </c>
      <c r="E578" s="23"/>
      <c r="F578" s="25">
        <v>48</v>
      </c>
      <c r="G578" s="26" t="str">
        <f>IF('Fee Receipt (Class-wise)'!C1057="", "", 'Fee Receipt (Class-wise)'!C1057)</f>
        <v/>
      </c>
      <c r="H578" s="25">
        <f>'Fee Receipt (Class-wise)'!K1057</f>
        <v>760</v>
      </c>
      <c r="I578" s="23"/>
    </row>
    <row r="579" spans="1:9" ht="14.45" customHeight="1">
      <c r="A579" s="35"/>
      <c r="B579" s="25">
        <v>19</v>
      </c>
      <c r="C579" s="26" t="str">
        <f>IF('Fee Receipt (Class-wise)'!C1028="", "", 'Fee Receipt (Class-wise)'!C1028)</f>
        <v>FIADOGBE GRACE</v>
      </c>
      <c r="D579" s="25">
        <f>'Fee Receipt (Class-wise)'!K1028</f>
        <v>360</v>
      </c>
      <c r="E579" s="23"/>
      <c r="F579" s="25">
        <v>49</v>
      </c>
      <c r="G579" s="26" t="str">
        <f>IF('Fee Receipt (Class-wise)'!C1058="", "", 'Fee Receipt (Class-wise)'!C1058)</f>
        <v/>
      </c>
      <c r="H579" s="25">
        <f>'Fee Receipt (Class-wise)'!K1058</f>
        <v>760</v>
      </c>
      <c r="I579" s="23"/>
    </row>
    <row r="580" spans="1:9" ht="14.45" customHeight="1">
      <c r="A580" s="35"/>
      <c r="B580" s="25">
        <v>20</v>
      </c>
      <c r="C580" s="26" t="str">
        <f>IF('Fee Receipt (Class-wise)'!C1029="", "", 'Fee Receipt (Class-wise)'!C1029)</f>
        <v>GAWUGA MERCY</v>
      </c>
      <c r="D580" s="25">
        <f>'Fee Receipt (Class-wise)'!K1029</f>
        <v>460</v>
      </c>
      <c r="E580" s="23"/>
      <c r="F580" s="25">
        <v>50</v>
      </c>
      <c r="G580" s="26" t="str">
        <f>IF('Fee Receipt (Class-wise)'!C1059="", "", 'Fee Receipt (Class-wise)'!C1059)</f>
        <v/>
      </c>
      <c r="H580" s="25">
        <f>'Fee Receipt (Class-wise)'!K1059</f>
        <v>760</v>
      </c>
      <c r="I580" s="23"/>
    </row>
    <row r="581" spans="1:9" ht="14.45" customHeight="1">
      <c r="A581" s="35"/>
      <c r="B581" s="25">
        <v>21</v>
      </c>
      <c r="C581" s="26" t="str">
        <f>IF('Fee Receipt (Class-wise)'!C1030="", "", 'Fee Receipt (Class-wise)'!C1030)</f>
        <v>GYAIDOO PRECIOUS</v>
      </c>
      <c r="D581" s="25">
        <f>'Fee Receipt (Class-wise)'!K1030</f>
        <v>0</v>
      </c>
      <c r="E581" s="23"/>
      <c r="F581" s="25">
        <v>51</v>
      </c>
      <c r="G581" s="26" t="str">
        <f>IF('Fee Receipt (Class-wise)'!C1060="", "", 'Fee Receipt (Class-wise)'!C1060)</f>
        <v/>
      </c>
      <c r="H581" s="25">
        <f>'Fee Receipt (Class-wise)'!K1060</f>
        <v>760</v>
      </c>
      <c r="I581" s="23"/>
    </row>
    <row r="582" spans="1:9" ht="14.45" customHeight="1">
      <c r="A582" s="35"/>
      <c r="B582" s="25">
        <v>22</v>
      </c>
      <c r="C582" s="26" t="str">
        <f>IF('Fee Receipt (Class-wise)'!C1031="", "", 'Fee Receipt (Class-wise)'!C1031)</f>
        <v>GYENIN AUSTIN</v>
      </c>
      <c r="D582" s="25">
        <f>'Fee Receipt (Class-wise)'!K1031</f>
        <v>460</v>
      </c>
      <c r="E582" s="23"/>
      <c r="F582" s="25">
        <v>52</v>
      </c>
      <c r="G582" s="26" t="str">
        <f>IF('Fee Receipt (Class-wise)'!C1061="", "", 'Fee Receipt (Class-wise)'!C1061)</f>
        <v/>
      </c>
      <c r="H582" s="25">
        <f>'Fee Receipt (Class-wise)'!K1061</f>
        <v>760</v>
      </c>
      <c r="I582" s="23"/>
    </row>
    <row r="583" spans="1:9" ht="14.45" customHeight="1">
      <c r="A583" s="35"/>
      <c r="B583" s="25">
        <v>23</v>
      </c>
      <c r="C583" s="26" t="str">
        <f>IF('Fee Receipt (Class-wise)'!C1032="", "", 'Fee Receipt (Class-wise)'!C1032)</f>
        <v>HAMMOND ANGELA</v>
      </c>
      <c r="D583" s="25">
        <f>'Fee Receipt (Class-wise)'!K1032</f>
        <v>400</v>
      </c>
      <c r="E583" s="23"/>
      <c r="F583" s="25">
        <v>53</v>
      </c>
      <c r="G583" s="26" t="str">
        <f>IF('Fee Receipt (Class-wise)'!C1062="", "", 'Fee Receipt (Class-wise)'!C1062)</f>
        <v/>
      </c>
      <c r="H583" s="25">
        <f>'Fee Receipt (Class-wise)'!K1062</f>
        <v>760</v>
      </c>
      <c r="I583" s="23"/>
    </row>
    <row r="584" spans="1:9" ht="14.45" customHeight="1">
      <c r="A584" s="35"/>
      <c r="B584" s="25">
        <v>24</v>
      </c>
      <c r="C584" s="26" t="str">
        <f>IF('Fee Receipt (Class-wise)'!C1033="", "", 'Fee Receipt (Class-wise)'!C1033)</f>
        <v>KORDORWU DAVID</v>
      </c>
      <c r="D584" s="25">
        <f>'Fee Receipt (Class-wise)'!K1033</f>
        <v>360</v>
      </c>
      <c r="E584" s="23"/>
      <c r="F584" s="25">
        <v>54</v>
      </c>
      <c r="G584" s="26" t="str">
        <f>IF('Fee Receipt (Class-wise)'!C1063="", "", 'Fee Receipt (Class-wise)'!C1063)</f>
        <v/>
      </c>
      <c r="H584" s="25">
        <f>'Fee Receipt (Class-wise)'!K1063</f>
        <v>760</v>
      </c>
      <c r="I584" s="23"/>
    </row>
    <row r="585" spans="1:9" ht="14.45" customHeight="1">
      <c r="A585" s="35"/>
      <c r="B585" s="25">
        <v>25</v>
      </c>
      <c r="C585" s="26" t="str">
        <f>IF('Fee Receipt (Class-wise)'!C1034="", "", 'Fee Receipt (Class-wise)'!C1034)</f>
        <v>KUADZI EVELYN</v>
      </c>
      <c r="D585" s="25">
        <f>'Fee Receipt (Class-wise)'!K1034</f>
        <v>0</v>
      </c>
      <c r="E585" s="23"/>
      <c r="F585" s="25">
        <v>55</v>
      </c>
      <c r="G585" s="26" t="str">
        <f>IF('Fee Receipt (Class-wise)'!C1064="", "", 'Fee Receipt (Class-wise)'!C1064)</f>
        <v/>
      </c>
      <c r="H585" s="25">
        <f>'Fee Receipt (Class-wise)'!K1064</f>
        <v>760</v>
      </c>
      <c r="I585" s="23"/>
    </row>
    <row r="586" spans="1:9" ht="14.45" customHeight="1">
      <c r="A586" s="35"/>
      <c r="B586" s="25">
        <v>26</v>
      </c>
      <c r="C586" s="26" t="str">
        <f>IF('Fee Receipt (Class-wise)'!C1035="", "", 'Fee Receipt (Class-wise)'!C1035)</f>
        <v>MAWUMEKOU CLEMENT</v>
      </c>
      <c r="D586" s="25">
        <f>'Fee Receipt (Class-wise)'!K1035</f>
        <v>0</v>
      </c>
      <c r="E586" s="23"/>
      <c r="F586" s="25">
        <v>56</v>
      </c>
      <c r="G586" s="26" t="str">
        <f>IF('Fee Receipt (Class-wise)'!C1065="", "", 'Fee Receipt (Class-wise)'!C1065)</f>
        <v/>
      </c>
      <c r="H586" s="25">
        <f>'Fee Receipt (Class-wise)'!K1065</f>
        <v>760</v>
      </c>
      <c r="I586" s="23"/>
    </row>
    <row r="587" spans="1:9" ht="14.45" customHeight="1">
      <c r="A587" s="35"/>
      <c r="B587" s="25">
        <v>27</v>
      </c>
      <c r="C587" s="26" t="str">
        <f>IF('Fee Receipt (Class-wise)'!C1036="", "", 'Fee Receipt (Class-wise)'!C1036)</f>
        <v>MOHAMMED ABDULLAH</v>
      </c>
      <c r="D587" s="25">
        <f>'Fee Receipt (Class-wise)'!K1036</f>
        <v>260</v>
      </c>
      <c r="E587" s="23"/>
      <c r="F587" s="25">
        <v>57</v>
      </c>
      <c r="G587" s="26" t="str">
        <f>IF('Fee Receipt (Class-wise)'!C1066="", "", 'Fee Receipt (Class-wise)'!C1066)</f>
        <v/>
      </c>
      <c r="H587" s="25">
        <f>'Fee Receipt (Class-wise)'!K1066</f>
        <v>760</v>
      </c>
      <c r="I587" s="23"/>
    </row>
    <row r="588" spans="1:9" ht="14.45" customHeight="1">
      <c r="A588" s="35"/>
      <c r="B588" s="25">
        <v>28</v>
      </c>
      <c r="C588" s="26" t="str">
        <f>IF('Fee Receipt (Class-wise)'!C1037="", "", 'Fee Receipt (Class-wise)'!C1037)</f>
        <v>MUSAH GAFFAR</v>
      </c>
      <c r="D588" s="25">
        <f>'Fee Receipt (Class-wise)'!K1037</f>
        <v>760</v>
      </c>
      <c r="E588" s="23"/>
      <c r="F588" s="25">
        <v>58</v>
      </c>
      <c r="G588" s="26" t="str">
        <f>IF('Fee Receipt (Class-wise)'!C1067="", "", 'Fee Receipt (Class-wise)'!C1067)</f>
        <v/>
      </c>
      <c r="H588" s="25">
        <f>'Fee Receipt (Class-wise)'!K1067</f>
        <v>760</v>
      </c>
      <c r="I588" s="23"/>
    </row>
    <row r="589" spans="1:9" ht="14.45" customHeight="1">
      <c r="A589" s="35"/>
      <c r="B589" s="25">
        <v>29</v>
      </c>
      <c r="C589" s="26" t="str">
        <f>IF('Fee Receipt (Class-wise)'!C1038="", "", 'Fee Receipt (Class-wise)'!C1038)</f>
        <v>NANOR JEFFERY</v>
      </c>
      <c r="D589" s="25">
        <f>'Fee Receipt (Class-wise)'!K1038</f>
        <v>0</v>
      </c>
      <c r="E589" s="23"/>
      <c r="F589" s="25">
        <v>59</v>
      </c>
      <c r="G589" s="26" t="str">
        <f>IF('Fee Receipt (Class-wise)'!C1068="", "", 'Fee Receipt (Class-wise)'!C1068)</f>
        <v/>
      </c>
      <c r="H589" s="25">
        <f>'Fee Receipt (Class-wise)'!K1068</f>
        <v>760</v>
      </c>
      <c r="I589" s="23"/>
    </row>
    <row r="590" spans="1:9" ht="14.45" customHeight="1">
      <c r="A590" s="35"/>
      <c r="B590" s="25">
        <v>30</v>
      </c>
      <c r="C590" s="26" t="str">
        <f>IF('Fee Receipt (Class-wise)'!C1039="", "", 'Fee Receipt (Class-wise)'!C1039)</f>
        <v>NUDZE EVELYN</v>
      </c>
      <c r="D590" s="25">
        <f>'Fee Receipt (Class-wise)'!K1039</f>
        <v>360</v>
      </c>
      <c r="E590" s="23"/>
      <c r="F590" s="25">
        <v>60</v>
      </c>
      <c r="G590" s="26" t="str">
        <f>IF('Fee Receipt (Class-wise)'!C1069="", "", 'Fee Receipt (Class-wise)'!C1069)</f>
        <v/>
      </c>
      <c r="H590" s="25">
        <f>'Fee Receipt (Class-wise)'!K1069</f>
        <v>760</v>
      </c>
      <c r="I590" s="23"/>
    </row>
    <row r="591" spans="1:9" ht="14.45" customHeight="1">
      <c r="A591" s="35"/>
      <c r="B591" s="25"/>
      <c r="C591" s="23"/>
      <c r="D591" s="23"/>
      <c r="E591" s="23"/>
      <c r="F591" s="33" t="s">
        <v>31</v>
      </c>
      <c r="G591" s="33"/>
      <c r="H591" s="24">
        <f>SUM(D561:D590)+SUM(H561:H590)</f>
        <v>27280</v>
      </c>
      <c r="I591" s="23"/>
    </row>
    <row r="592" spans="1:9" ht="14.45" customHeight="1">
      <c r="B592" s="23"/>
      <c r="C592" s="23"/>
      <c r="D592" s="23"/>
      <c r="E592" s="23"/>
      <c r="F592" s="23"/>
      <c r="G592" s="23"/>
      <c r="H592" s="23"/>
      <c r="I592" s="23"/>
    </row>
    <row r="593" spans="1:9" ht="14.45" customHeight="1">
      <c r="B593" s="23"/>
      <c r="C593" s="23"/>
      <c r="D593" s="23"/>
      <c r="E593" s="23"/>
      <c r="F593" s="23"/>
      <c r="G593" s="23"/>
      <c r="H593" s="23"/>
      <c r="I593" s="23"/>
    </row>
    <row r="594" spans="1:9" ht="14.45" customHeight="1">
      <c r="A594" s="49">
        <v>17</v>
      </c>
      <c r="B594" s="35" t="s">
        <v>33</v>
      </c>
      <c r="C594" s="35"/>
      <c r="D594" s="35"/>
      <c r="E594" s="35"/>
      <c r="F594" s="35"/>
      <c r="G594" s="35"/>
      <c r="H594" s="24" t="s">
        <v>36</v>
      </c>
      <c r="I594" s="23"/>
    </row>
    <row r="595" spans="1:9" ht="14.45" customHeight="1">
      <c r="A595" s="49"/>
      <c r="B595" s="23" t="s">
        <v>35</v>
      </c>
      <c r="C595" s="50" t="str">
        <f>IF('Fee Receipt (Class-wise)'!C1074="", "", 'Fee Receipt (Class-wise)'!C1074)</f>
        <v>BASIC 6B</v>
      </c>
      <c r="D595" s="50"/>
      <c r="E595" s="23"/>
      <c r="F595" s="23"/>
      <c r="G595" s="23"/>
      <c r="H595" s="49">
        <f>IF(C595="", "", H628)</f>
        <v>30980</v>
      </c>
      <c r="I595" s="23"/>
    </row>
    <row r="596" spans="1:9" ht="14.45" customHeight="1">
      <c r="A596" s="49"/>
      <c r="B596" s="23" t="s">
        <v>34</v>
      </c>
      <c r="C596" s="50" t="str">
        <f>IF(C595="", "", 'Fee Receipt (Class-wise)'!$H$2)</f>
        <v>2025-26</v>
      </c>
      <c r="D596" s="50"/>
      <c r="E596" s="23"/>
      <c r="F596" s="23"/>
      <c r="G596" s="23"/>
      <c r="H596" s="49"/>
      <c r="I596" s="23"/>
    </row>
    <row r="597" spans="1:9" ht="14.45" customHeight="1">
      <c r="A597" s="35"/>
      <c r="B597" s="25" t="s">
        <v>1</v>
      </c>
      <c r="C597" s="25" t="s">
        <v>2</v>
      </c>
      <c r="D597" s="25" t="s">
        <v>9</v>
      </c>
      <c r="E597" s="23"/>
      <c r="F597" s="25" t="s">
        <v>1</v>
      </c>
      <c r="G597" s="25" t="s">
        <v>2</v>
      </c>
      <c r="H597" s="25" t="s">
        <v>9</v>
      </c>
      <c r="I597" s="23"/>
    </row>
    <row r="598" spans="1:9" ht="14.45" customHeight="1">
      <c r="A598" s="35"/>
      <c r="B598" s="25">
        <v>1</v>
      </c>
      <c r="C598" s="26" t="str">
        <f>IF('Fee Receipt (Class-wise)'!C1077="", "", 'Fee Receipt (Class-wise)'!C1077)</f>
        <v>ABDUL-RAKIB HAMZA</v>
      </c>
      <c r="D598" s="25">
        <f>'Fee Receipt (Class-wise)'!K1077</f>
        <v>760</v>
      </c>
      <c r="E598" s="23"/>
      <c r="F598" s="25">
        <v>31</v>
      </c>
      <c r="G598" s="26" t="str">
        <f>IF('Fee Receipt (Class-wise)'!C1107="", "", 'Fee Receipt (Class-wise)'!C1107)</f>
        <v>POMEVO KEKELI COMFORT</v>
      </c>
      <c r="H598" s="25">
        <f>'Fee Receipt (Class-wise)'!K1107</f>
        <v>300</v>
      </c>
      <c r="I598" s="23"/>
    </row>
    <row r="599" spans="1:9" ht="14.45" customHeight="1">
      <c r="A599" s="35"/>
      <c r="B599" s="25">
        <v>2</v>
      </c>
      <c r="C599" s="26" t="str">
        <f>IF('Fee Receipt (Class-wise)'!C1078="", "", 'Fee Receipt (Class-wise)'!C1078)</f>
        <v>ADDY ELIJAH</v>
      </c>
      <c r="D599" s="25">
        <f>'Fee Receipt (Class-wise)'!K1078</f>
        <v>410</v>
      </c>
      <c r="E599" s="23"/>
      <c r="F599" s="25">
        <v>32</v>
      </c>
      <c r="G599" s="26" t="str">
        <f>IF('Fee Receipt (Class-wise)'!C1108="", "", 'Fee Receipt (Class-wise)'!C1108)</f>
        <v>QUAYE OTHNIEL</v>
      </c>
      <c r="H599" s="25">
        <f>'Fee Receipt (Class-wise)'!K1108</f>
        <v>0</v>
      </c>
      <c r="I599" s="23"/>
    </row>
    <row r="600" spans="1:9" ht="14.45" customHeight="1">
      <c r="A600" s="35"/>
      <c r="B600" s="25">
        <v>3</v>
      </c>
      <c r="C600" s="26" t="str">
        <f>IF('Fee Receipt (Class-wise)'!C1079="", "", 'Fee Receipt (Class-wise)'!C1079)</f>
        <v>ADU KELVIN</v>
      </c>
      <c r="D600" s="25">
        <f>'Fee Receipt (Class-wise)'!K1079</f>
        <v>760</v>
      </c>
      <c r="E600" s="23"/>
      <c r="F600" s="25">
        <v>33</v>
      </c>
      <c r="G600" s="26" t="str">
        <f>IF('Fee Receipt (Class-wise)'!C1109="", "", 'Fee Receipt (Class-wise)'!C1109)</f>
        <v>SEGBEDZI BLESS</v>
      </c>
      <c r="H600" s="25">
        <f>'Fee Receipt (Class-wise)'!K1109</f>
        <v>260</v>
      </c>
      <c r="I600" s="23"/>
    </row>
    <row r="601" spans="1:9" ht="14.45" customHeight="1">
      <c r="A601" s="35"/>
      <c r="B601" s="25">
        <v>4</v>
      </c>
      <c r="C601" s="26" t="str">
        <f>IF('Fee Receipt (Class-wise)'!C1080="", "", 'Fee Receipt (Class-wise)'!C1080)</f>
        <v>AGUMENU DAVID</v>
      </c>
      <c r="D601" s="25">
        <f>'Fee Receipt (Class-wise)'!K1080</f>
        <v>760</v>
      </c>
      <c r="E601" s="23"/>
      <c r="F601" s="25">
        <v>34</v>
      </c>
      <c r="G601" s="26" t="str">
        <f>IF('Fee Receipt (Class-wise)'!C1110="", "", 'Fee Receipt (Class-wise)'!C1110)</f>
        <v>SULEMANA FAUZAN</v>
      </c>
      <c r="H601" s="25">
        <f>'Fee Receipt (Class-wise)'!K1110</f>
        <v>210</v>
      </c>
      <c r="I601" s="23"/>
    </row>
    <row r="602" spans="1:9" ht="14.45" customHeight="1">
      <c r="A602" s="35"/>
      <c r="B602" s="25">
        <v>5</v>
      </c>
      <c r="C602" s="26" t="str">
        <f>IF('Fee Receipt (Class-wise)'!C1081="", "", 'Fee Receipt (Class-wise)'!C1081)</f>
        <v>AGYAPONG ANGEL</v>
      </c>
      <c r="D602" s="25">
        <f>'Fee Receipt (Class-wise)'!K1081</f>
        <v>460</v>
      </c>
      <c r="E602" s="23"/>
      <c r="F602" s="25">
        <v>35</v>
      </c>
      <c r="G602" s="26" t="str">
        <f>IF('Fee Receipt (Class-wise)'!C1111="", "", 'Fee Receipt (Class-wise)'!C1111)</f>
        <v>TETTEH CALEB PINTO</v>
      </c>
      <c r="H602" s="25">
        <f>'Fee Receipt (Class-wise)'!K1111</f>
        <v>60</v>
      </c>
      <c r="I602" s="23"/>
    </row>
    <row r="603" spans="1:9" ht="14.45" customHeight="1">
      <c r="A603" s="35"/>
      <c r="B603" s="25">
        <v>6</v>
      </c>
      <c r="C603" s="26" t="str">
        <f>IF('Fee Receipt (Class-wise)'!C1082="", "", 'Fee Receipt (Class-wise)'!C1082)</f>
        <v>AKUFFO ELIZABETH</v>
      </c>
      <c r="D603" s="25">
        <f>'Fee Receipt (Class-wise)'!K1082</f>
        <v>560</v>
      </c>
      <c r="E603" s="23"/>
      <c r="F603" s="25">
        <v>36</v>
      </c>
      <c r="G603" s="26" t="str">
        <f>IF('Fee Receipt (Class-wise)'!C1112="", "", 'Fee Receipt (Class-wise)'!C1112)</f>
        <v>TETTEH NII JOEL</v>
      </c>
      <c r="H603" s="25">
        <f>'Fee Receipt (Class-wise)'!K1112</f>
        <v>360</v>
      </c>
      <c r="I603" s="23"/>
    </row>
    <row r="604" spans="1:9" ht="14.45" customHeight="1">
      <c r="A604" s="35"/>
      <c r="B604" s="25">
        <v>7</v>
      </c>
      <c r="C604" s="26" t="str">
        <f>IF('Fee Receipt (Class-wise)'!C1083="", "", 'Fee Receipt (Class-wise)'!C1083)</f>
        <v>AMANKWAH MAAFO JEHDEIAH</v>
      </c>
      <c r="D604" s="25">
        <f>'Fee Receipt (Class-wise)'!K1083</f>
        <v>0</v>
      </c>
      <c r="E604" s="23"/>
      <c r="F604" s="25">
        <v>37</v>
      </c>
      <c r="G604" s="26" t="str">
        <f>IF('Fee Receipt (Class-wise)'!C1113="", "", 'Fee Receipt (Class-wise)'!C1113)</f>
        <v>TORNYELI ESINAM</v>
      </c>
      <c r="H604" s="25">
        <f>'Fee Receipt (Class-wise)'!K1113</f>
        <v>480</v>
      </c>
      <c r="I604" s="23"/>
    </row>
    <row r="605" spans="1:9" ht="14.45" customHeight="1">
      <c r="A605" s="35"/>
      <c r="B605" s="25">
        <v>8</v>
      </c>
      <c r="C605" s="26" t="str">
        <f>IF('Fee Receipt (Class-wise)'!C1084="", "", 'Fee Receipt (Class-wise)'!C1084)</f>
        <v>AMOAKO MICHAEL</v>
      </c>
      <c r="D605" s="25">
        <f>'Fee Receipt (Class-wise)'!K1084</f>
        <v>110</v>
      </c>
      <c r="E605" s="23"/>
      <c r="F605" s="25">
        <v>38</v>
      </c>
      <c r="G605" s="26" t="str">
        <f>IF('Fee Receipt (Class-wise)'!C1114="", "", 'Fee Receipt (Class-wise)'!C1114)</f>
        <v/>
      </c>
      <c r="H605" s="25">
        <f>'Fee Receipt (Class-wise)'!K1114</f>
        <v>760</v>
      </c>
      <c r="I605" s="23"/>
    </row>
    <row r="606" spans="1:9" ht="14.45" customHeight="1">
      <c r="A606" s="35"/>
      <c r="B606" s="25">
        <v>9</v>
      </c>
      <c r="C606" s="26" t="str">
        <f>IF('Fee Receipt (Class-wise)'!C1085="", "", 'Fee Receipt (Class-wise)'!C1085)</f>
        <v>ANANIE RANSFORD</v>
      </c>
      <c r="D606" s="25">
        <f>'Fee Receipt (Class-wise)'!K1085</f>
        <v>260</v>
      </c>
      <c r="E606" s="23"/>
      <c r="F606" s="25">
        <v>39</v>
      </c>
      <c r="G606" s="26" t="str">
        <f>IF('Fee Receipt (Class-wise)'!C1115="", "", 'Fee Receipt (Class-wise)'!C1115)</f>
        <v/>
      </c>
      <c r="H606" s="25">
        <f>'Fee Receipt (Class-wise)'!K1115</f>
        <v>760</v>
      </c>
      <c r="I606" s="23"/>
    </row>
    <row r="607" spans="1:9" ht="14.45" customHeight="1">
      <c r="A607" s="35"/>
      <c r="B607" s="25">
        <v>10</v>
      </c>
      <c r="C607" s="26" t="str">
        <f>IF('Fee Receipt (Class-wise)'!C1086="", "", 'Fee Receipt (Class-wise)'!C1086)</f>
        <v>ANNOR PERPETUAL</v>
      </c>
      <c r="D607" s="25">
        <f>'Fee Receipt (Class-wise)'!K1086</f>
        <v>760</v>
      </c>
      <c r="E607" s="23"/>
      <c r="F607" s="25">
        <v>40</v>
      </c>
      <c r="G607" s="26" t="str">
        <f>IF('Fee Receipt (Class-wise)'!C1116="", "", 'Fee Receipt (Class-wise)'!C1116)</f>
        <v/>
      </c>
      <c r="H607" s="25">
        <f>'Fee Receipt (Class-wise)'!K1116</f>
        <v>760</v>
      </c>
      <c r="I607" s="23"/>
    </row>
    <row r="608" spans="1:9" ht="14.45" customHeight="1">
      <c r="A608" s="35"/>
      <c r="B608" s="25">
        <v>11</v>
      </c>
      <c r="C608" s="26" t="str">
        <f>IF('Fee Receipt (Class-wise)'!C1087="", "", 'Fee Receipt (Class-wise)'!C1087)</f>
        <v>AZAMETI SAMUEL</v>
      </c>
      <c r="D608" s="25">
        <f>'Fee Receipt (Class-wise)'!K1087</f>
        <v>500</v>
      </c>
      <c r="E608" s="23"/>
      <c r="F608" s="25">
        <v>41</v>
      </c>
      <c r="G608" s="26" t="str">
        <f>IF('Fee Receipt (Class-wise)'!C1117="", "", 'Fee Receipt (Class-wise)'!C1117)</f>
        <v/>
      </c>
      <c r="H608" s="25">
        <f>'Fee Receipt (Class-wise)'!K1117</f>
        <v>760</v>
      </c>
      <c r="I608" s="23"/>
    </row>
    <row r="609" spans="1:9" ht="14.45" customHeight="1">
      <c r="A609" s="35"/>
      <c r="B609" s="25">
        <v>12</v>
      </c>
      <c r="C609" s="26" t="str">
        <f>IF('Fee Receipt (Class-wise)'!C1088="", "", 'Fee Receipt (Class-wise)'!C1088)</f>
        <v>BOAKYE YIADOM JOSHUAN</v>
      </c>
      <c r="D609" s="25">
        <f>'Fee Receipt (Class-wise)'!K1088</f>
        <v>760</v>
      </c>
      <c r="E609" s="23"/>
      <c r="F609" s="25">
        <v>42</v>
      </c>
      <c r="G609" s="26" t="str">
        <f>IF('Fee Receipt (Class-wise)'!C1118="", "", 'Fee Receipt (Class-wise)'!C1118)</f>
        <v/>
      </c>
      <c r="H609" s="25">
        <f>'Fee Receipt (Class-wise)'!K1118</f>
        <v>760</v>
      </c>
      <c r="I609" s="23"/>
    </row>
    <row r="610" spans="1:9" ht="14.45" customHeight="1">
      <c r="A610" s="35"/>
      <c r="B610" s="25">
        <v>13</v>
      </c>
      <c r="C610" s="26" t="str">
        <f>IF('Fee Receipt (Class-wise)'!C1089="", "", 'Fee Receipt (Class-wise)'!C1089)</f>
        <v>BONNEY ANNABEL</v>
      </c>
      <c r="D610" s="25">
        <f>'Fee Receipt (Class-wise)'!K1089</f>
        <v>360</v>
      </c>
      <c r="E610" s="23"/>
      <c r="F610" s="25">
        <v>43</v>
      </c>
      <c r="G610" s="26" t="str">
        <f>IF('Fee Receipt (Class-wise)'!C1119="", "", 'Fee Receipt (Class-wise)'!C1119)</f>
        <v/>
      </c>
      <c r="H610" s="25">
        <f>'Fee Receipt (Class-wise)'!K1119</f>
        <v>760</v>
      </c>
      <c r="I610" s="23"/>
    </row>
    <row r="611" spans="1:9" ht="14.45" customHeight="1">
      <c r="A611" s="35"/>
      <c r="B611" s="25">
        <v>14</v>
      </c>
      <c r="C611" s="26" t="str">
        <f>IF('Fee Receipt (Class-wise)'!C1090="", "", 'Fee Receipt (Class-wise)'!C1090)</f>
        <v>DANSO DANIEL</v>
      </c>
      <c r="D611" s="25">
        <f>'Fee Receipt (Class-wise)'!K1090</f>
        <v>360</v>
      </c>
      <c r="E611" s="23"/>
      <c r="F611" s="25">
        <v>44</v>
      </c>
      <c r="G611" s="26" t="str">
        <f>IF('Fee Receipt (Class-wise)'!C1120="", "", 'Fee Receipt (Class-wise)'!C1120)</f>
        <v/>
      </c>
      <c r="H611" s="25">
        <f>'Fee Receipt (Class-wise)'!K1120</f>
        <v>760</v>
      </c>
      <c r="I611" s="23"/>
    </row>
    <row r="612" spans="1:9" ht="14.45" customHeight="1">
      <c r="A612" s="35"/>
      <c r="B612" s="25">
        <v>15</v>
      </c>
      <c r="C612" s="26" t="str">
        <f>IF('Fee Receipt (Class-wise)'!C1091="", "", 'Fee Receipt (Class-wise)'!C1091)</f>
        <v>ESSIEM RICHMOND</v>
      </c>
      <c r="D612" s="25">
        <f>'Fee Receipt (Class-wise)'!K1091</f>
        <v>460</v>
      </c>
      <c r="E612" s="23"/>
      <c r="F612" s="25">
        <v>45</v>
      </c>
      <c r="G612" s="26" t="str">
        <f>IF('Fee Receipt (Class-wise)'!C1121="", "", 'Fee Receipt (Class-wise)'!C1121)</f>
        <v/>
      </c>
      <c r="H612" s="25">
        <f>'Fee Receipt (Class-wise)'!K1121</f>
        <v>760</v>
      </c>
      <c r="I612" s="23"/>
    </row>
    <row r="613" spans="1:9" ht="14.45" customHeight="1">
      <c r="A613" s="35"/>
      <c r="B613" s="25">
        <v>16</v>
      </c>
      <c r="C613" s="26" t="str">
        <f>IF('Fee Receipt (Class-wise)'!C1092="", "", 'Fee Receipt (Class-wise)'!C1092)</f>
        <v>GAKPLADZI DAVID</v>
      </c>
      <c r="D613" s="25">
        <f>'Fee Receipt (Class-wise)'!K1092</f>
        <v>760</v>
      </c>
      <c r="E613" s="23"/>
      <c r="F613" s="25">
        <v>46</v>
      </c>
      <c r="G613" s="26" t="str">
        <f>IF('Fee Receipt (Class-wise)'!C1122="", "", 'Fee Receipt (Class-wise)'!C1122)</f>
        <v/>
      </c>
      <c r="H613" s="25">
        <f>'Fee Receipt (Class-wise)'!K1122</f>
        <v>760</v>
      </c>
      <c r="I613" s="23"/>
    </row>
    <row r="614" spans="1:9" ht="14.45" customHeight="1">
      <c r="A614" s="35"/>
      <c r="B614" s="25">
        <v>17</v>
      </c>
      <c r="C614" s="26" t="str">
        <f>IF('Fee Receipt (Class-wise)'!C1093="", "", 'Fee Receipt (Class-wise)'!C1093)</f>
        <v>GEMEGAH SENA</v>
      </c>
      <c r="D614" s="25">
        <f>'Fee Receipt (Class-wise)'!K1093</f>
        <v>0</v>
      </c>
      <c r="E614" s="23"/>
      <c r="F614" s="25">
        <v>47</v>
      </c>
      <c r="G614" s="26" t="str">
        <f>IF('Fee Receipt (Class-wise)'!C1123="", "", 'Fee Receipt (Class-wise)'!C1123)</f>
        <v/>
      </c>
      <c r="H614" s="25">
        <f>'Fee Receipt (Class-wise)'!K1123</f>
        <v>760</v>
      </c>
      <c r="I614" s="23"/>
    </row>
    <row r="615" spans="1:9" ht="14.45" customHeight="1">
      <c r="A615" s="35"/>
      <c r="B615" s="25">
        <v>18</v>
      </c>
      <c r="C615" s="26" t="str">
        <f>IF('Fee Receipt (Class-wise)'!C1094="", "", 'Fee Receipt (Class-wise)'!C1094)</f>
        <v>GIDEONS SHANELLE</v>
      </c>
      <c r="D615" s="25">
        <f>'Fee Receipt (Class-wise)'!K1094</f>
        <v>0</v>
      </c>
      <c r="E615" s="23"/>
      <c r="F615" s="25">
        <v>48</v>
      </c>
      <c r="G615" s="26" t="str">
        <f>IF('Fee Receipt (Class-wise)'!C1124="", "", 'Fee Receipt (Class-wise)'!C1124)</f>
        <v/>
      </c>
      <c r="H615" s="25">
        <f>'Fee Receipt (Class-wise)'!K1124</f>
        <v>760</v>
      </c>
      <c r="I615" s="23"/>
    </row>
    <row r="616" spans="1:9" ht="14.45" customHeight="1">
      <c r="A616" s="35"/>
      <c r="B616" s="25">
        <v>19</v>
      </c>
      <c r="C616" s="26" t="str">
        <f>IF('Fee Receipt (Class-wise)'!C1095="", "", 'Fee Receipt (Class-wise)'!C1095)</f>
        <v>KAYABA KHULUDO</v>
      </c>
      <c r="D616" s="25">
        <f>'Fee Receipt (Class-wise)'!K1095</f>
        <v>540</v>
      </c>
      <c r="E616" s="23"/>
      <c r="F616" s="25">
        <v>49</v>
      </c>
      <c r="G616" s="26" t="str">
        <f>IF('Fee Receipt (Class-wise)'!C1125="", "", 'Fee Receipt (Class-wise)'!C1125)</f>
        <v/>
      </c>
      <c r="H616" s="25">
        <f>'Fee Receipt (Class-wise)'!K1125</f>
        <v>760</v>
      </c>
      <c r="I616" s="23"/>
    </row>
    <row r="617" spans="1:9" ht="14.45" customHeight="1">
      <c r="A617" s="35"/>
      <c r="B617" s="25">
        <v>20</v>
      </c>
      <c r="C617" s="26" t="str">
        <f>IF('Fee Receipt (Class-wise)'!C1096="", "", 'Fee Receipt (Class-wise)'!C1096)</f>
        <v>KLEKU DENNIS</v>
      </c>
      <c r="D617" s="25">
        <f>'Fee Receipt (Class-wise)'!K1096</f>
        <v>460</v>
      </c>
      <c r="E617" s="23"/>
      <c r="F617" s="25">
        <v>50</v>
      </c>
      <c r="G617" s="26" t="str">
        <f>IF('Fee Receipt (Class-wise)'!C1126="", "", 'Fee Receipt (Class-wise)'!C1126)</f>
        <v/>
      </c>
      <c r="H617" s="25">
        <f>'Fee Receipt (Class-wise)'!K1126</f>
        <v>760</v>
      </c>
      <c r="I617" s="23"/>
    </row>
    <row r="618" spans="1:9" ht="14.45" customHeight="1">
      <c r="A618" s="35"/>
      <c r="B618" s="25">
        <v>21</v>
      </c>
      <c r="C618" s="26" t="str">
        <f>IF('Fee Receipt (Class-wise)'!C1097="", "", 'Fee Receipt (Class-wise)'!C1097)</f>
        <v>KOTOKU FAFALI ELSIE</v>
      </c>
      <c r="D618" s="25">
        <f>'Fee Receipt (Class-wise)'!K1097</f>
        <v>210</v>
      </c>
      <c r="E618" s="23"/>
      <c r="F618" s="25">
        <v>51</v>
      </c>
      <c r="G618" s="26" t="str">
        <f>IF('Fee Receipt (Class-wise)'!C1127="", "", 'Fee Receipt (Class-wise)'!C1127)</f>
        <v/>
      </c>
      <c r="H618" s="25">
        <f>'Fee Receipt (Class-wise)'!K1127</f>
        <v>760</v>
      </c>
      <c r="I618" s="23"/>
    </row>
    <row r="619" spans="1:9" ht="14.45" customHeight="1">
      <c r="A619" s="35"/>
      <c r="B619" s="25">
        <v>22</v>
      </c>
      <c r="C619" s="26" t="str">
        <f>IF('Fee Receipt (Class-wise)'!C1098="", "", 'Fee Receipt (Class-wise)'!C1098)</f>
        <v>MARINO FAYISON</v>
      </c>
      <c r="D619" s="25">
        <f>'Fee Receipt (Class-wise)'!K1098</f>
        <v>460</v>
      </c>
      <c r="E619" s="23"/>
      <c r="F619" s="25">
        <v>52</v>
      </c>
      <c r="G619" s="26" t="str">
        <f>IF('Fee Receipt (Class-wise)'!C1128="", "", 'Fee Receipt (Class-wise)'!C1128)</f>
        <v/>
      </c>
      <c r="H619" s="25">
        <f>'Fee Receipt (Class-wise)'!K1128</f>
        <v>760</v>
      </c>
      <c r="I619" s="23"/>
    </row>
    <row r="620" spans="1:9" ht="14.45" customHeight="1">
      <c r="A620" s="35"/>
      <c r="B620" s="25">
        <v>23</v>
      </c>
      <c r="C620" s="26" t="str">
        <f>IF('Fee Receipt (Class-wise)'!C1099="", "", 'Fee Receipt (Class-wise)'!C1099)</f>
        <v>MONYEKOR MERCY</v>
      </c>
      <c r="D620" s="25">
        <f>'Fee Receipt (Class-wise)'!K1099</f>
        <v>280</v>
      </c>
      <c r="E620" s="23"/>
      <c r="F620" s="25">
        <v>53</v>
      </c>
      <c r="G620" s="26" t="str">
        <f>IF('Fee Receipt (Class-wise)'!C1129="", "", 'Fee Receipt (Class-wise)'!C1129)</f>
        <v/>
      </c>
      <c r="H620" s="25">
        <f>'Fee Receipt (Class-wise)'!K1129</f>
        <v>760</v>
      </c>
      <c r="I620" s="23"/>
    </row>
    <row r="621" spans="1:9" ht="14.45" customHeight="1">
      <c r="A621" s="35"/>
      <c r="B621" s="25">
        <v>24</v>
      </c>
      <c r="C621" s="26" t="str">
        <f>IF('Fee Receipt (Class-wise)'!C1100="", "", 'Fee Receipt (Class-wise)'!C1100)</f>
        <v>MUMIN RAHINA</v>
      </c>
      <c r="D621" s="25">
        <f>'Fee Receipt (Class-wise)'!K1100</f>
        <v>500</v>
      </c>
      <c r="E621" s="23"/>
      <c r="F621" s="25">
        <v>54</v>
      </c>
      <c r="G621" s="26" t="str">
        <f>IF('Fee Receipt (Class-wise)'!C1130="", "", 'Fee Receipt (Class-wise)'!C1130)</f>
        <v/>
      </c>
      <c r="H621" s="25">
        <f>'Fee Receipt (Class-wise)'!K1130</f>
        <v>760</v>
      </c>
      <c r="I621" s="23"/>
    </row>
    <row r="622" spans="1:9" ht="14.45" customHeight="1">
      <c r="A622" s="35"/>
      <c r="B622" s="25">
        <v>25</v>
      </c>
      <c r="C622" s="26" t="str">
        <f>IF('Fee Receipt (Class-wise)'!C1101="", "", 'Fee Receipt (Class-wise)'!C1101)</f>
        <v>NAZIRU AYISHA</v>
      </c>
      <c r="D622" s="25">
        <f>'Fee Receipt (Class-wise)'!K1101</f>
        <v>0</v>
      </c>
      <c r="E622" s="23"/>
      <c r="F622" s="25">
        <v>55</v>
      </c>
      <c r="G622" s="26" t="str">
        <f>IF('Fee Receipt (Class-wise)'!C1131="", "", 'Fee Receipt (Class-wise)'!C1131)</f>
        <v/>
      </c>
      <c r="H622" s="25">
        <f>'Fee Receipt (Class-wise)'!K1131</f>
        <v>760</v>
      </c>
      <c r="I622" s="23"/>
    </row>
    <row r="623" spans="1:9" ht="14.45" customHeight="1">
      <c r="A623" s="35"/>
      <c r="B623" s="25">
        <v>26</v>
      </c>
      <c r="C623" s="26" t="str">
        <f>IF('Fee Receipt (Class-wise)'!C1102="", "", 'Fee Receipt (Class-wise)'!C1102)</f>
        <v>NYANYATSE ISAAC</v>
      </c>
      <c r="D623" s="25">
        <f>'Fee Receipt (Class-wise)'!K1102</f>
        <v>260</v>
      </c>
      <c r="E623" s="23"/>
      <c r="F623" s="25">
        <v>56</v>
      </c>
      <c r="G623" s="26" t="str">
        <f>IF('Fee Receipt (Class-wise)'!C1132="", "", 'Fee Receipt (Class-wise)'!C1132)</f>
        <v/>
      </c>
      <c r="H623" s="25">
        <f>'Fee Receipt (Class-wise)'!K1132</f>
        <v>760</v>
      </c>
      <c r="I623" s="23"/>
    </row>
    <row r="624" spans="1:9" ht="14.45" customHeight="1">
      <c r="A624" s="35"/>
      <c r="B624" s="25">
        <v>27</v>
      </c>
      <c r="C624" s="26" t="str">
        <f>IF('Fee Receipt (Class-wise)'!C1103="", "", 'Fee Receipt (Class-wise)'!C1103)</f>
        <v>OKRONIPA EMMANUEL</v>
      </c>
      <c r="D624" s="25">
        <f>'Fee Receipt (Class-wise)'!K1103</f>
        <v>360</v>
      </c>
      <c r="E624" s="23"/>
      <c r="F624" s="25">
        <v>57</v>
      </c>
      <c r="G624" s="26" t="str">
        <f>IF('Fee Receipt (Class-wise)'!C1133="", "", 'Fee Receipt (Class-wise)'!C1133)</f>
        <v/>
      </c>
      <c r="H624" s="25">
        <f>'Fee Receipt (Class-wise)'!K1133</f>
        <v>760</v>
      </c>
      <c r="I624" s="23"/>
    </row>
    <row r="625" spans="1:9" ht="14.45" customHeight="1">
      <c r="A625" s="35"/>
      <c r="B625" s="25">
        <v>28</v>
      </c>
      <c r="C625" s="26" t="str">
        <f>IF('Fee Receipt (Class-wise)'!C1104="", "", 'Fee Receipt (Class-wise)'!C1104)</f>
        <v>ONAI SHANTEL</v>
      </c>
      <c r="D625" s="25">
        <f>'Fee Receipt (Class-wise)'!K1104</f>
        <v>0</v>
      </c>
      <c r="E625" s="23"/>
      <c r="F625" s="25">
        <v>58</v>
      </c>
      <c r="G625" s="26" t="str">
        <f>IF('Fee Receipt (Class-wise)'!C1134="", "", 'Fee Receipt (Class-wise)'!C1134)</f>
        <v/>
      </c>
      <c r="H625" s="25">
        <f>'Fee Receipt (Class-wise)'!K1134</f>
        <v>760</v>
      </c>
      <c r="I625" s="23"/>
    </row>
    <row r="626" spans="1:9" ht="14.45" customHeight="1">
      <c r="A626" s="35"/>
      <c r="B626" s="25">
        <v>29</v>
      </c>
      <c r="C626" s="26" t="str">
        <f>IF('Fee Receipt (Class-wise)'!C1105="", "", 'Fee Receipt (Class-wise)'!C1105)</f>
        <v>OTOO AUGUSTINA</v>
      </c>
      <c r="D626" s="25">
        <f>'Fee Receipt (Class-wise)'!K1105</f>
        <v>460</v>
      </c>
      <c r="E626" s="23"/>
      <c r="F626" s="25">
        <v>59</v>
      </c>
      <c r="G626" s="26" t="str">
        <f>IF('Fee Receipt (Class-wise)'!C1135="", "", 'Fee Receipt (Class-wise)'!C1135)</f>
        <v/>
      </c>
      <c r="H626" s="25">
        <f>'Fee Receipt (Class-wise)'!K1135</f>
        <v>760</v>
      </c>
      <c r="I626" s="23"/>
    </row>
    <row r="627" spans="1:9" ht="14.45" customHeight="1">
      <c r="A627" s="35"/>
      <c r="B627" s="25">
        <v>30</v>
      </c>
      <c r="C627" s="26" t="str">
        <f>IF('Fee Receipt (Class-wise)'!C1106="", "", 'Fee Receipt (Class-wise)'!C1106)</f>
        <v>OWUSU-NSAFOAH DUKE</v>
      </c>
      <c r="D627" s="25">
        <f>'Fee Receipt (Class-wise)'!K1106</f>
        <v>260</v>
      </c>
      <c r="E627" s="23"/>
      <c r="F627" s="25">
        <v>60</v>
      </c>
      <c r="G627" s="26" t="str">
        <f>IF('Fee Receipt (Class-wise)'!C1136="", "", 'Fee Receipt (Class-wise)'!C1136)</f>
        <v/>
      </c>
      <c r="H627" s="25">
        <f>'Fee Receipt (Class-wise)'!K1136</f>
        <v>760</v>
      </c>
      <c r="I627" s="23"/>
    </row>
    <row r="628" spans="1:9" ht="14.45" customHeight="1">
      <c r="A628" s="35"/>
      <c r="B628" s="25"/>
      <c r="C628" s="23"/>
      <c r="D628" s="23"/>
      <c r="E628" s="23"/>
      <c r="F628" s="33" t="s">
        <v>31</v>
      </c>
      <c r="G628" s="33"/>
      <c r="H628" s="24">
        <f>SUM(D598:D627)+SUM(H598:H627)</f>
        <v>30980</v>
      </c>
      <c r="I628" s="23"/>
    </row>
    <row r="629" spans="1:9" ht="14.45" customHeight="1">
      <c r="B629" s="23"/>
      <c r="C629" s="23"/>
      <c r="D629" s="23"/>
      <c r="E629" s="23"/>
      <c r="F629" s="23"/>
      <c r="G629" s="23"/>
      <c r="H629" s="23"/>
      <c r="I629" s="23"/>
    </row>
    <row r="630" spans="1:9" ht="14.45" customHeight="1">
      <c r="B630" s="23"/>
      <c r="C630" s="23"/>
      <c r="D630" s="23"/>
      <c r="E630" s="23"/>
      <c r="F630" s="23"/>
      <c r="G630" s="23"/>
      <c r="H630" s="23"/>
      <c r="I630" s="23"/>
    </row>
    <row r="631" spans="1:9" ht="14.45" customHeight="1">
      <c r="A631" s="49">
        <v>18</v>
      </c>
      <c r="B631" s="35" t="s">
        <v>33</v>
      </c>
      <c r="C631" s="35"/>
      <c r="D631" s="35"/>
      <c r="E631" s="35"/>
      <c r="F631" s="35"/>
      <c r="G631" s="35"/>
      <c r="H631" s="24" t="s">
        <v>36</v>
      </c>
      <c r="I631" s="23"/>
    </row>
    <row r="632" spans="1:9" ht="14.45" customHeight="1">
      <c r="A632" s="49"/>
      <c r="B632" s="23" t="s">
        <v>35</v>
      </c>
      <c r="C632" s="50" t="str">
        <f>IF('Fee Receipt (Class-wise)'!C1141="", "", 'Fee Receipt (Class-wise)'!C1141)</f>
        <v>BASIC 7A</v>
      </c>
      <c r="D632" s="50"/>
      <c r="E632" s="23"/>
      <c r="F632" s="23"/>
      <c r="G632" s="23"/>
      <c r="H632" s="49">
        <f>IF(C632="", "", H665)</f>
        <v>43110</v>
      </c>
      <c r="I632" s="23"/>
    </row>
    <row r="633" spans="1:9" ht="14.45" customHeight="1">
      <c r="A633" s="49"/>
      <c r="B633" s="23" t="s">
        <v>34</v>
      </c>
      <c r="C633" s="50" t="str">
        <f>IF(C632="", "", 'Fee Receipt (Class-wise)'!$H$2)</f>
        <v>2025-26</v>
      </c>
      <c r="D633" s="50"/>
      <c r="E633" s="23"/>
      <c r="F633" s="23"/>
      <c r="G633" s="23"/>
      <c r="H633" s="49"/>
      <c r="I633" s="23"/>
    </row>
    <row r="634" spans="1:9" ht="14.45" customHeight="1">
      <c r="A634" s="35"/>
      <c r="B634" s="25" t="s">
        <v>1</v>
      </c>
      <c r="C634" s="25" t="s">
        <v>2</v>
      </c>
      <c r="D634" s="25" t="s">
        <v>9</v>
      </c>
      <c r="E634" s="23"/>
      <c r="F634" s="25" t="s">
        <v>1</v>
      </c>
      <c r="G634" s="25" t="s">
        <v>2</v>
      </c>
      <c r="H634" s="25" t="s">
        <v>9</v>
      </c>
      <c r="I634" s="23"/>
    </row>
    <row r="635" spans="1:9" ht="14.45" customHeight="1">
      <c r="A635" s="35"/>
      <c r="B635" s="25">
        <v>1</v>
      </c>
      <c r="C635" s="26" t="str">
        <f>IF('Fee Receipt (Class-wise)'!C1144="", "", 'Fee Receipt (Class-wise)'!C1144)</f>
        <v>ADOBI OSBOURNE</v>
      </c>
      <c r="D635" s="25">
        <f>'Fee Receipt (Class-wise)'!K1144</f>
        <v>480</v>
      </c>
      <c r="E635" s="23"/>
      <c r="F635" s="25">
        <v>31</v>
      </c>
      <c r="G635" s="26" t="str">
        <f>IF('Fee Receipt (Class-wise)'!C1174="", "", 'Fee Receipt (Class-wise)'!C1174)</f>
        <v>WOTORDZOR JUSTICE</v>
      </c>
      <c r="H635" s="25">
        <f>'Fee Receipt (Class-wise)'!K1174</f>
        <v>0</v>
      </c>
      <c r="I635" s="23"/>
    </row>
    <row r="636" spans="1:9" ht="14.45" customHeight="1">
      <c r="A636" s="35"/>
      <c r="B636" s="25">
        <v>2</v>
      </c>
      <c r="C636" s="26" t="str">
        <f>IF('Fee Receipt (Class-wise)'!C1145="", "", 'Fee Receipt (Class-wise)'!C1145)</f>
        <v>ADONU EUGENIA</v>
      </c>
      <c r="D636" s="25">
        <f>'Fee Receipt (Class-wise)'!K1145</f>
        <v>0</v>
      </c>
      <c r="E636" s="23"/>
      <c r="F636" s="25">
        <v>32</v>
      </c>
      <c r="G636" s="26" t="str">
        <f>IF('Fee Receipt (Class-wise)'!C1175="", "", 'Fee Receipt (Class-wise)'!C1175)</f>
        <v/>
      </c>
      <c r="H636" s="25">
        <f>'Fee Receipt (Class-wise)'!K1175</f>
        <v>980</v>
      </c>
      <c r="I636" s="23"/>
    </row>
    <row r="637" spans="1:9" ht="14.45" customHeight="1">
      <c r="A637" s="35"/>
      <c r="B637" s="25">
        <v>3</v>
      </c>
      <c r="C637" s="26" t="str">
        <f>IF('Fee Receipt (Class-wise)'!C1146="", "", 'Fee Receipt (Class-wise)'!C1146)</f>
        <v>AFIANU BETTY</v>
      </c>
      <c r="D637" s="25">
        <f>'Fee Receipt (Class-wise)'!K1146</f>
        <v>530</v>
      </c>
      <c r="E637" s="23"/>
      <c r="F637" s="25">
        <v>33</v>
      </c>
      <c r="G637" s="26" t="str">
        <f>IF('Fee Receipt (Class-wise)'!C1176="", "", 'Fee Receipt (Class-wise)'!C1176)</f>
        <v/>
      </c>
      <c r="H637" s="25">
        <f>'Fee Receipt (Class-wise)'!K1176</f>
        <v>980</v>
      </c>
      <c r="I637" s="23"/>
    </row>
    <row r="638" spans="1:9" ht="14.45" customHeight="1">
      <c r="A638" s="35"/>
      <c r="B638" s="25">
        <v>4</v>
      </c>
      <c r="C638" s="26" t="str">
        <f>IF('Fee Receipt (Class-wise)'!C1147="", "", 'Fee Receipt (Class-wise)'!C1147)</f>
        <v>AFORLEHO ENOCH</v>
      </c>
      <c r="D638" s="25">
        <f>'Fee Receipt (Class-wise)'!K1147</f>
        <v>0</v>
      </c>
      <c r="E638" s="23"/>
      <c r="F638" s="25">
        <v>34</v>
      </c>
      <c r="G638" s="26" t="str">
        <f>IF('Fee Receipt (Class-wise)'!C1177="", "", 'Fee Receipt (Class-wise)'!C1177)</f>
        <v/>
      </c>
      <c r="H638" s="25">
        <f>'Fee Receipt (Class-wise)'!K1177</f>
        <v>980</v>
      </c>
      <c r="I638" s="23"/>
    </row>
    <row r="639" spans="1:9" ht="14.45" customHeight="1">
      <c r="A639" s="35"/>
      <c r="B639" s="25">
        <v>5</v>
      </c>
      <c r="C639" s="26" t="str">
        <f>IF('Fee Receipt (Class-wise)'!C1148="", "", 'Fee Receipt (Class-wise)'!C1148)</f>
        <v>AGUDEY MICHELLE</v>
      </c>
      <c r="D639" s="25">
        <f>'Fee Receipt (Class-wise)'!K1148</f>
        <v>80</v>
      </c>
      <c r="E639" s="23"/>
      <c r="F639" s="25">
        <v>35</v>
      </c>
      <c r="G639" s="26" t="str">
        <f>IF('Fee Receipt (Class-wise)'!C1178="", "", 'Fee Receipt (Class-wise)'!C1178)</f>
        <v/>
      </c>
      <c r="H639" s="25">
        <f>'Fee Receipt (Class-wise)'!K1178</f>
        <v>980</v>
      </c>
      <c r="I639" s="23"/>
    </row>
    <row r="640" spans="1:9" ht="14.45" customHeight="1">
      <c r="A640" s="35"/>
      <c r="B640" s="25">
        <v>6</v>
      </c>
      <c r="C640" s="26" t="str">
        <f>IF('Fee Receipt (Class-wise)'!C1149="", "", 'Fee Receipt (Class-wise)'!C1149)</f>
        <v>AGYEMANG MARY</v>
      </c>
      <c r="D640" s="25">
        <f>'Fee Receipt (Class-wise)'!K1149</f>
        <v>680</v>
      </c>
      <c r="E640" s="23"/>
      <c r="F640" s="25">
        <v>36</v>
      </c>
      <c r="G640" s="26" t="str">
        <f>IF('Fee Receipt (Class-wise)'!C1179="", "", 'Fee Receipt (Class-wise)'!C1179)</f>
        <v/>
      </c>
      <c r="H640" s="25">
        <f>'Fee Receipt (Class-wise)'!K1179</f>
        <v>980</v>
      </c>
      <c r="I640" s="23"/>
    </row>
    <row r="641" spans="1:9" ht="14.45" customHeight="1">
      <c r="A641" s="35"/>
      <c r="B641" s="25">
        <v>7</v>
      </c>
      <c r="C641" s="26" t="str">
        <f>IF('Fee Receipt (Class-wise)'!C1150="", "", 'Fee Receipt (Class-wise)'!C1150)</f>
        <v>ALHASSAN HAFSA</v>
      </c>
      <c r="D641" s="25">
        <f>'Fee Receipt (Class-wise)'!K1150</f>
        <v>780</v>
      </c>
      <c r="E641" s="23"/>
      <c r="F641" s="25">
        <v>37</v>
      </c>
      <c r="G641" s="26" t="str">
        <f>IF('Fee Receipt (Class-wise)'!C1180="", "", 'Fee Receipt (Class-wise)'!C1180)</f>
        <v/>
      </c>
      <c r="H641" s="25">
        <f>'Fee Receipt (Class-wise)'!K1180</f>
        <v>980</v>
      </c>
      <c r="I641" s="23"/>
    </row>
    <row r="642" spans="1:9" ht="14.45" customHeight="1">
      <c r="A642" s="35"/>
      <c r="B642" s="25">
        <v>8</v>
      </c>
      <c r="C642" s="26" t="str">
        <f>IF('Fee Receipt (Class-wise)'!C1151="", "", 'Fee Receipt (Class-wise)'!C1151)</f>
        <v>ALIWOE PEACE</v>
      </c>
      <c r="D642" s="25">
        <f>'Fee Receipt (Class-wise)'!K1151</f>
        <v>80</v>
      </c>
      <c r="E642" s="23"/>
      <c r="F642" s="25">
        <v>38</v>
      </c>
      <c r="G642" s="26" t="str">
        <f>IF('Fee Receipt (Class-wise)'!C1181="", "", 'Fee Receipt (Class-wise)'!C1181)</f>
        <v/>
      </c>
      <c r="H642" s="25">
        <f>'Fee Receipt (Class-wise)'!K1181</f>
        <v>980</v>
      </c>
      <c r="I642" s="23"/>
    </row>
    <row r="643" spans="1:9" ht="14.45" customHeight="1">
      <c r="A643" s="35"/>
      <c r="B643" s="25">
        <v>9</v>
      </c>
      <c r="C643" s="26" t="str">
        <f>IF('Fee Receipt (Class-wise)'!C1152="", "", 'Fee Receipt (Class-wise)'!C1152)</f>
        <v>AMANKRAH GRACE</v>
      </c>
      <c r="D643" s="25">
        <f>'Fee Receipt (Class-wise)'!K1152</f>
        <v>480</v>
      </c>
      <c r="E643" s="23"/>
      <c r="F643" s="25">
        <v>39</v>
      </c>
      <c r="G643" s="26" t="str">
        <f>IF('Fee Receipt (Class-wise)'!C1182="", "", 'Fee Receipt (Class-wise)'!C1182)</f>
        <v/>
      </c>
      <c r="H643" s="25">
        <f>'Fee Receipt (Class-wise)'!K1182</f>
        <v>980</v>
      </c>
      <c r="I643" s="23"/>
    </row>
    <row r="644" spans="1:9" ht="14.45" customHeight="1">
      <c r="A644" s="35"/>
      <c r="B644" s="25">
        <v>10</v>
      </c>
      <c r="C644" s="26" t="str">
        <f>IF('Fee Receipt (Class-wise)'!C1153="", "", 'Fee Receipt (Class-wise)'!C1153)</f>
        <v>AMETEPE PRECIOUS</v>
      </c>
      <c r="D644" s="25">
        <f>'Fee Receipt (Class-wise)'!K1153</f>
        <v>0</v>
      </c>
      <c r="E644" s="23"/>
      <c r="F644" s="25">
        <v>40</v>
      </c>
      <c r="G644" s="26" t="str">
        <f>IF('Fee Receipt (Class-wise)'!C1183="", "", 'Fee Receipt (Class-wise)'!C1183)</f>
        <v/>
      </c>
      <c r="H644" s="25">
        <f>'Fee Receipt (Class-wise)'!K1183</f>
        <v>980</v>
      </c>
      <c r="I644" s="23"/>
    </row>
    <row r="645" spans="1:9" ht="14.45" customHeight="1">
      <c r="A645" s="35"/>
      <c r="B645" s="25">
        <v>11</v>
      </c>
      <c r="C645" s="26" t="str">
        <f>IF('Fee Receipt (Class-wise)'!C1154="", "", 'Fee Receipt (Class-wise)'!C1154)</f>
        <v>ANSAH NHYIRABA</v>
      </c>
      <c r="D645" s="25">
        <f>'Fee Receipt (Class-wise)'!K1154</f>
        <v>580</v>
      </c>
      <c r="E645" s="23"/>
      <c r="F645" s="25">
        <v>41</v>
      </c>
      <c r="G645" s="26" t="str">
        <f>IF('Fee Receipt (Class-wise)'!C1184="", "", 'Fee Receipt (Class-wise)'!C1184)</f>
        <v/>
      </c>
      <c r="H645" s="25">
        <f>'Fee Receipt (Class-wise)'!K1184</f>
        <v>980</v>
      </c>
      <c r="I645" s="23"/>
    </row>
    <row r="646" spans="1:9" ht="14.45" customHeight="1">
      <c r="A646" s="35"/>
      <c r="B646" s="25">
        <v>12</v>
      </c>
      <c r="C646" s="26" t="str">
        <f>IF('Fee Receipt (Class-wise)'!C1155="", "", 'Fee Receipt (Class-wise)'!C1155)</f>
        <v>APPIAH HELENA</v>
      </c>
      <c r="D646" s="25">
        <f>'Fee Receipt (Class-wise)'!K1155</f>
        <v>980</v>
      </c>
      <c r="E646" s="23"/>
      <c r="F646" s="25">
        <v>42</v>
      </c>
      <c r="G646" s="26" t="str">
        <f>IF('Fee Receipt (Class-wise)'!C1185="", "", 'Fee Receipt (Class-wise)'!C1185)</f>
        <v/>
      </c>
      <c r="H646" s="25">
        <f>'Fee Receipt (Class-wise)'!K1185</f>
        <v>980</v>
      </c>
      <c r="I646" s="23"/>
    </row>
    <row r="647" spans="1:9" ht="14.45" customHeight="1">
      <c r="A647" s="35"/>
      <c r="B647" s="25">
        <v>13</v>
      </c>
      <c r="C647" s="26" t="str">
        <f>IF('Fee Receipt (Class-wise)'!C1156="", "", 'Fee Receipt (Class-wise)'!C1156)</f>
        <v>ARTHUR AMAKYE</v>
      </c>
      <c r="D647" s="25">
        <f>'Fee Receipt (Class-wise)'!K1156</f>
        <v>0</v>
      </c>
      <c r="E647" s="23"/>
      <c r="F647" s="25">
        <v>43</v>
      </c>
      <c r="G647" s="26" t="str">
        <f>IF('Fee Receipt (Class-wise)'!C1186="", "", 'Fee Receipt (Class-wise)'!C1186)</f>
        <v/>
      </c>
      <c r="H647" s="25">
        <f>'Fee Receipt (Class-wise)'!K1186</f>
        <v>980</v>
      </c>
      <c r="I647" s="23"/>
    </row>
    <row r="648" spans="1:9" ht="14.45" customHeight="1">
      <c r="A648" s="35"/>
      <c r="B648" s="25">
        <v>14</v>
      </c>
      <c r="C648" s="26" t="str">
        <f>IF('Fee Receipt (Class-wise)'!C1157="", "", 'Fee Receipt (Class-wise)'!C1157)</f>
        <v/>
      </c>
      <c r="D648" s="25">
        <f>'Fee Receipt (Class-wise)'!K1157</f>
        <v>980</v>
      </c>
      <c r="E648" s="23"/>
      <c r="F648" s="25">
        <v>44</v>
      </c>
      <c r="G648" s="26" t="str">
        <f>IF('Fee Receipt (Class-wise)'!C1187="", "", 'Fee Receipt (Class-wise)'!C1187)</f>
        <v/>
      </c>
      <c r="H648" s="25">
        <f>'Fee Receipt (Class-wise)'!K1187</f>
        <v>980</v>
      </c>
      <c r="I648" s="23"/>
    </row>
    <row r="649" spans="1:9" ht="14.45" customHeight="1">
      <c r="A649" s="35"/>
      <c r="B649" s="25">
        <v>15</v>
      </c>
      <c r="C649" s="26" t="str">
        <f>IF('Fee Receipt (Class-wise)'!C1158="", "", 'Fee Receipt (Class-wise)'!C1158)</f>
        <v>BOAKYE ELVIS</v>
      </c>
      <c r="D649" s="25">
        <f>'Fee Receipt (Class-wise)'!K1158</f>
        <v>510</v>
      </c>
      <c r="E649" s="23"/>
      <c r="F649" s="25">
        <v>45</v>
      </c>
      <c r="G649" s="26" t="str">
        <f>IF('Fee Receipt (Class-wise)'!C1188="", "", 'Fee Receipt (Class-wise)'!C1188)</f>
        <v/>
      </c>
      <c r="H649" s="25">
        <f>'Fee Receipt (Class-wise)'!K1188</f>
        <v>980</v>
      </c>
      <c r="I649" s="23"/>
    </row>
    <row r="650" spans="1:9" ht="14.45" customHeight="1">
      <c r="A650" s="35"/>
      <c r="B650" s="25">
        <v>16</v>
      </c>
      <c r="C650" s="26" t="str">
        <f>IF('Fee Receipt (Class-wise)'!C1159="", "", 'Fee Receipt (Class-wise)'!C1159)</f>
        <v>BOAKYEWAA MARFO</v>
      </c>
      <c r="D650" s="25">
        <f>'Fee Receipt (Class-wise)'!K1159</f>
        <v>480</v>
      </c>
      <c r="E650" s="23"/>
      <c r="F650" s="25">
        <v>46</v>
      </c>
      <c r="G650" s="26" t="str">
        <f>IF('Fee Receipt (Class-wise)'!C1189="", "", 'Fee Receipt (Class-wise)'!C1189)</f>
        <v/>
      </c>
      <c r="H650" s="25">
        <f>'Fee Receipt (Class-wise)'!K1189</f>
        <v>980</v>
      </c>
      <c r="I650" s="23"/>
    </row>
    <row r="651" spans="1:9" ht="14.45" customHeight="1">
      <c r="A651" s="35"/>
      <c r="B651" s="25">
        <v>17</v>
      </c>
      <c r="C651" s="26" t="str">
        <f>IF('Fee Receipt (Class-wise)'!C1160="", "", 'Fee Receipt (Class-wise)'!C1160)</f>
        <v>DETSU DANIELLA</v>
      </c>
      <c r="D651" s="25">
        <f>'Fee Receipt (Class-wise)'!K1160</f>
        <v>230</v>
      </c>
      <c r="E651" s="23"/>
      <c r="F651" s="25">
        <v>47</v>
      </c>
      <c r="G651" s="26" t="str">
        <f>IF('Fee Receipt (Class-wise)'!C1190="", "", 'Fee Receipt (Class-wise)'!C1190)</f>
        <v/>
      </c>
      <c r="H651" s="25">
        <f>'Fee Receipt (Class-wise)'!K1190</f>
        <v>980</v>
      </c>
      <c r="I651" s="23"/>
    </row>
    <row r="652" spans="1:9" ht="14.45" customHeight="1">
      <c r="A652" s="35"/>
      <c r="B652" s="25">
        <v>18</v>
      </c>
      <c r="C652" s="26" t="str">
        <f>IF('Fee Receipt (Class-wise)'!C1161="", "", 'Fee Receipt (Class-wise)'!C1161)</f>
        <v/>
      </c>
      <c r="D652" s="25">
        <f>'Fee Receipt (Class-wise)'!K1161</f>
        <v>980</v>
      </c>
      <c r="E652" s="23"/>
      <c r="F652" s="25">
        <v>48</v>
      </c>
      <c r="G652" s="26" t="str">
        <f>IF('Fee Receipt (Class-wise)'!C1191="", "", 'Fee Receipt (Class-wise)'!C1191)</f>
        <v/>
      </c>
      <c r="H652" s="25">
        <f>'Fee Receipt (Class-wise)'!K1191</f>
        <v>980</v>
      </c>
      <c r="I652" s="23"/>
    </row>
    <row r="653" spans="1:9" ht="14.45" customHeight="1">
      <c r="A653" s="35"/>
      <c r="B653" s="25">
        <v>19</v>
      </c>
      <c r="C653" s="26" t="str">
        <f>IF('Fee Receipt (Class-wise)'!C1162="", "", 'Fee Receipt (Class-wise)'!C1162)</f>
        <v>GBADAM ELVIS</v>
      </c>
      <c r="D653" s="25">
        <f>'Fee Receipt (Class-wise)'!K1162</f>
        <v>580</v>
      </c>
      <c r="E653" s="23"/>
      <c r="F653" s="25">
        <v>49</v>
      </c>
      <c r="G653" s="26" t="str">
        <f>IF('Fee Receipt (Class-wise)'!C1192="", "", 'Fee Receipt (Class-wise)'!C1192)</f>
        <v/>
      </c>
      <c r="H653" s="25">
        <f>'Fee Receipt (Class-wise)'!K1192</f>
        <v>980</v>
      </c>
      <c r="I653" s="23"/>
    </row>
    <row r="654" spans="1:9" ht="14.45" customHeight="1">
      <c r="A654" s="35"/>
      <c r="B654" s="25">
        <v>20</v>
      </c>
      <c r="C654" s="26" t="str">
        <f>IF('Fee Receipt (Class-wise)'!C1163="", "", 'Fee Receipt (Class-wise)'!C1163)</f>
        <v>GHANSAH EMMANUELLA</v>
      </c>
      <c r="D654" s="25">
        <f>'Fee Receipt (Class-wise)'!K1163</f>
        <v>0</v>
      </c>
      <c r="E654" s="23"/>
      <c r="F654" s="25">
        <v>50</v>
      </c>
      <c r="G654" s="26" t="str">
        <f>IF('Fee Receipt (Class-wise)'!C1193="", "", 'Fee Receipt (Class-wise)'!C1193)</f>
        <v/>
      </c>
      <c r="H654" s="25">
        <f>'Fee Receipt (Class-wise)'!K1193</f>
        <v>980</v>
      </c>
      <c r="I654" s="23"/>
    </row>
    <row r="655" spans="1:9" ht="14.45" customHeight="1">
      <c r="A655" s="35"/>
      <c r="B655" s="25">
        <v>21</v>
      </c>
      <c r="C655" s="26" t="str">
        <f>IF('Fee Receipt (Class-wise)'!C1164="", "", 'Fee Receipt (Class-wise)'!C1164)</f>
        <v>LARYEA CHRISTABEL</v>
      </c>
      <c r="D655" s="25">
        <f>'Fee Receipt (Class-wise)'!K1164</f>
        <v>680</v>
      </c>
      <c r="E655" s="23"/>
      <c r="F655" s="25">
        <v>51</v>
      </c>
      <c r="G655" s="26" t="str">
        <f>IF('Fee Receipt (Class-wise)'!C1194="", "", 'Fee Receipt (Class-wise)'!C1194)</f>
        <v/>
      </c>
      <c r="H655" s="25">
        <f>'Fee Receipt (Class-wise)'!K1194</f>
        <v>980</v>
      </c>
      <c r="I655" s="23"/>
    </row>
    <row r="656" spans="1:9" ht="14.45" customHeight="1">
      <c r="A656" s="35"/>
      <c r="B656" s="25">
        <v>22</v>
      </c>
      <c r="C656" s="26" t="str">
        <f>IF('Fee Receipt (Class-wise)'!C1165="", "", 'Fee Receipt (Class-wise)'!C1165)</f>
        <v>MUMIN ABIBA</v>
      </c>
      <c r="D656" s="25">
        <f>'Fee Receipt (Class-wise)'!K1165</f>
        <v>680</v>
      </c>
      <c r="E656" s="23"/>
      <c r="F656" s="25">
        <v>52</v>
      </c>
      <c r="G656" s="26" t="str">
        <f>IF('Fee Receipt (Class-wise)'!C1195="", "", 'Fee Receipt (Class-wise)'!C1195)</f>
        <v/>
      </c>
      <c r="H656" s="25">
        <f>'Fee Receipt (Class-wise)'!K1195</f>
        <v>980</v>
      </c>
      <c r="I656" s="23"/>
    </row>
    <row r="657" spans="1:9" ht="14.45" customHeight="1">
      <c r="A657" s="35"/>
      <c r="B657" s="25">
        <v>23</v>
      </c>
      <c r="C657" s="26" t="str">
        <f>IF('Fee Receipt (Class-wise)'!C1166="", "", 'Fee Receipt (Class-wise)'!C1166)</f>
        <v>MUSAH UMAR</v>
      </c>
      <c r="D657" s="25">
        <f>'Fee Receipt (Class-wise)'!K1166</f>
        <v>730</v>
      </c>
      <c r="E657" s="23"/>
      <c r="F657" s="25">
        <v>53</v>
      </c>
      <c r="G657" s="26" t="str">
        <f>IF('Fee Receipt (Class-wise)'!C1196="", "", 'Fee Receipt (Class-wise)'!C1196)</f>
        <v/>
      </c>
      <c r="H657" s="25">
        <f>'Fee Receipt (Class-wise)'!K1196</f>
        <v>980</v>
      </c>
      <c r="I657" s="23"/>
    </row>
    <row r="658" spans="1:9" ht="14.45" customHeight="1">
      <c r="A658" s="35"/>
      <c r="B658" s="25">
        <v>24</v>
      </c>
      <c r="C658" s="26" t="str">
        <f>IF('Fee Receipt (Class-wise)'!C1167="", "", 'Fee Receipt (Class-wise)'!C1167)</f>
        <v>NARTEY BERNADINE</v>
      </c>
      <c r="D658" s="25">
        <f>'Fee Receipt (Class-wise)'!K1167</f>
        <v>980</v>
      </c>
      <c r="E658" s="23"/>
      <c r="F658" s="25">
        <v>54</v>
      </c>
      <c r="G658" s="26" t="str">
        <f>IF('Fee Receipt (Class-wise)'!C1197="", "", 'Fee Receipt (Class-wise)'!C1197)</f>
        <v/>
      </c>
      <c r="H658" s="25">
        <f>'Fee Receipt (Class-wise)'!K1197</f>
        <v>980</v>
      </c>
      <c r="I658" s="23"/>
    </row>
    <row r="659" spans="1:9" ht="14.45" customHeight="1">
      <c r="A659" s="35"/>
      <c r="B659" s="25">
        <v>25</v>
      </c>
      <c r="C659" s="26" t="str">
        <f>IF('Fee Receipt (Class-wise)'!C1168="", "", 'Fee Receipt (Class-wise)'!C1168)</f>
        <v/>
      </c>
      <c r="D659" s="25">
        <f>'Fee Receipt (Class-wise)'!K1168</f>
        <v>980</v>
      </c>
      <c r="E659" s="23"/>
      <c r="F659" s="25">
        <v>55</v>
      </c>
      <c r="G659" s="26" t="str">
        <f>IF('Fee Receipt (Class-wise)'!C1198="", "", 'Fee Receipt (Class-wise)'!C1198)</f>
        <v/>
      </c>
      <c r="H659" s="25">
        <f>'Fee Receipt (Class-wise)'!K1198</f>
        <v>980</v>
      </c>
      <c r="I659" s="23"/>
    </row>
    <row r="660" spans="1:9" ht="14.45" customHeight="1">
      <c r="A660" s="35"/>
      <c r="B660" s="25">
        <v>26</v>
      </c>
      <c r="C660" s="26" t="str">
        <f>IF('Fee Receipt (Class-wise)'!C1169="", "", 'Fee Receipt (Class-wise)'!C1169)</f>
        <v>NYARKO OLIVIA</v>
      </c>
      <c r="D660" s="25">
        <f>'Fee Receipt (Class-wise)'!K1169</f>
        <v>480</v>
      </c>
      <c r="E660" s="23"/>
      <c r="F660" s="25">
        <v>56</v>
      </c>
      <c r="G660" s="26" t="str">
        <f>IF('Fee Receipt (Class-wise)'!C1199="", "", 'Fee Receipt (Class-wise)'!C1199)</f>
        <v/>
      </c>
      <c r="H660" s="25">
        <f>'Fee Receipt (Class-wise)'!K1199</f>
        <v>980</v>
      </c>
      <c r="I660" s="23"/>
    </row>
    <row r="661" spans="1:9" ht="14.45" customHeight="1">
      <c r="A661" s="35"/>
      <c r="B661" s="25">
        <v>27</v>
      </c>
      <c r="C661" s="26" t="str">
        <f>IF('Fee Receipt (Class-wise)'!C1170="", "", 'Fee Receipt (Class-wise)'!C1170)</f>
        <v>OSEI JUBENG ASEYE</v>
      </c>
      <c r="D661" s="25">
        <f>'Fee Receipt (Class-wise)'!K1170</f>
        <v>380</v>
      </c>
      <c r="E661" s="23"/>
      <c r="F661" s="25">
        <v>57</v>
      </c>
      <c r="G661" s="26" t="str">
        <f>IF('Fee Receipt (Class-wise)'!C1200="", "", 'Fee Receipt (Class-wise)'!C1200)</f>
        <v/>
      </c>
      <c r="H661" s="25">
        <f>'Fee Receipt (Class-wise)'!K1200</f>
        <v>980</v>
      </c>
      <c r="I661" s="23"/>
    </row>
    <row r="662" spans="1:9" ht="14.45" customHeight="1">
      <c r="A662" s="35"/>
      <c r="B662" s="25">
        <v>28</v>
      </c>
      <c r="C662" s="26" t="str">
        <f>IF('Fee Receipt (Class-wise)'!C1171="", "", 'Fee Receipt (Class-wise)'!C1171)</f>
        <v>SARFOA SANDRA</v>
      </c>
      <c r="D662" s="25">
        <f>'Fee Receipt (Class-wise)'!K1171</f>
        <v>190</v>
      </c>
      <c r="E662" s="23"/>
      <c r="F662" s="25">
        <v>58</v>
      </c>
      <c r="G662" s="26" t="str">
        <f>IF('Fee Receipt (Class-wise)'!C1201="", "", 'Fee Receipt (Class-wise)'!C1201)</f>
        <v/>
      </c>
      <c r="H662" s="25">
        <f>'Fee Receipt (Class-wise)'!K1201</f>
        <v>980</v>
      </c>
      <c r="I662" s="23"/>
    </row>
    <row r="663" spans="1:9" ht="14.45" customHeight="1">
      <c r="A663" s="35"/>
      <c r="B663" s="25">
        <v>29</v>
      </c>
      <c r="C663" s="26" t="str">
        <f>IF('Fee Receipt (Class-wise)'!C1172="", "", 'Fee Receipt (Class-wise)'!C1172)</f>
        <v>TETTEH OSMOND</v>
      </c>
      <c r="D663" s="25">
        <f>'Fee Receipt (Class-wise)'!K1172</f>
        <v>680</v>
      </c>
      <c r="E663" s="23"/>
      <c r="F663" s="25">
        <v>59</v>
      </c>
      <c r="G663" s="26" t="str">
        <f>IF('Fee Receipt (Class-wise)'!C1202="", "", 'Fee Receipt (Class-wise)'!C1202)</f>
        <v/>
      </c>
      <c r="H663" s="25">
        <f>'Fee Receipt (Class-wise)'!K1202</f>
        <v>980</v>
      </c>
      <c r="I663" s="23"/>
    </row>
    <row r="664" spans="1:9" ht="14.45" customHeight="1">
      <c r="A664" s="35"/>
      <c r="B664" s="25">
        <v>30</v>
      </c>
      <c r="C664" s="26" t="str">
        <f>IF('Fee Receipt (Class-wise)'!C1173="", "", 'Fee Receipt (Class-wise)'!C1173)</f>
        <v>TOKORI JAMES</v>
      </c>
      <c r="D664" s="25">
        <f>'Fee Receipt (Class-wise)'!K1173</f>
        <v>480</v>
      </c>
      <c r="E664" s="23"/>
      <c r="F664" s="25">
        <v>60</v>
      </c>
      <c r="G664" s="26" t="str">
        <f>IF('Fee Receipt (Class-wise)'!C1203="", "", 'Fee Receipt (Class-wise)'!C1203)</f>
        <v/>
      </c>
      <c r="H664" s="25">
        <f>'Fee Receipt (Class-wise)'!K1203</f>
        <v>980</v>
      </c>
      <c r="I664" s="23"/>
    </row>
    <row r="665" spans="1:9" ht="14.45" customHeight="1">
      <c r="A665" s="35"/>
      <c r="B665" s="25"/>
      <c r="C665" s="23"/>
      <c r="D665" s="23"/>
      <c r="E665" s="23"/>
      <c r="F665" s="33" t="s">
        <v>31</v>
      </c>
      <c r="G665" s="33"/>
      <c r="H665" s="24">
        <f>SUM(D635:D664)+SUM(H635:H664)</f>
        <v>43110</v>
      </c>
      <c r="I665" s="23"/>
    </row>
    <row r="666" spans="1:9" ht="14.45" customHeight="1">
      <c r="B666" s="23"/>
      <c r="C666" s="23"/>
      <c r="D666" s="23"/>
      <c r="E666" s="23"/>
      <c r="F666" s="23"/>
      <c r="G666" s="23"/>
      <c r="H666" s="23"/>
      <c r="I666" s="23"/>
    </row>
    <row r="667" spans="1:9" ht="14.45" customHeight="1">
      <c r="B667" s="23"/>
      <c r="C667" s="23"/>
      <c r="D667" s="23"/>
      <c r="E667" s="23"/>
      <c r="F667" s="23"/>
      <c r="G667" s="23"/>
      <c r="H667" s="23"/>
      <c r="I667" s="23"/>
    </row>
    <row r="668" spans="1:9" ht="14.45" customHeight="1">
      <c r="A668" s="49">
        <v>19</v>
      </c>
      <c r="B668" s="35" t="s">
        <v>33</v>
      </c>
      <c r="C668" s="35"/>
      <c r="D668" s="35"/>
      <c r="E668" s="35"/>
      <c r="F668" s="35"/>
      <c r="G668" s="35"/>
      <c r="H668" s="24" t="s">
        <v>36</v>
      </c>
      <c r="I668" s="23"/>
    </row>
    <row r="669" spans="1:9" ht="14.45" customHeight="1">
      <c r="A669" s="49"/>
      <c r="B669" s="23" t="s">
        <v>35</v>
      </c>
      <c r="C669" s="50" t="str">
        <f>IF('Fee Receipt (Class-wise)'!C1208="", "", 'Fee Receipt (Class-wise)'!C1208)</f>
        <v>BASIC 7B</v>
      </c>
      <c r="D669" s="50"/>
      <c r="E669" s="23"/>
      <c r="F669" s="23"/>
      <c r="G669" s="23"/>
      <c r="H669" s="49">
        <f>IF(C669="", "", H702)</f>
        <v>40830</v>
      </c>
      <c r="I669" s="23"/>
    </row>
    <row r="670" spans="1:9" ht="14.45" customHeight="1">
      <c r="A670" s="49"/>
      <c r="B670" s="23" t="s">
        <v>34</v>
      </c>
      <c r="C670" s="50" t="str">
        <f>IF(C669="", "", 'Fee Receipt (Class-wise)'!$H$2)</f>
        <v>2025-26</v>
      </c>
      <c r="D670" s="50"/>
      <c r="E670" s="23"/>
      <c r="F670" s="23"/>
      <c r="G670" s="23"/>
      <c r="H670" s="49"/>
      <c r="I670" s="23"/>
    </row>
    <row r="671" spans="1:9" ht="14.45" customHeight="1">
      <c r="A671" s="35"/>
      <c r="B671" s="25" t="s">
        <v>1</v>
      </c>
      <c r="C671" s="25" t="s">
        <v>2</v>
      </c>
      <c r="D671" s="25" t="s">
        <v>9</v>
      </c>
      <c r="E671" s="23"/>
      <c r="F671" s="25" t="s">
        <v>1</v>
      </c>
      <c r="G671" s="25" t="s">
        <v>2</v>
      </c>
      <c r="H671" s="25" t="s">
        <v>9</v>
      </c>
      <c r="I671" s="23"/>
    </row>
    <row r="672" spans="1:9" ht="14.45" customHeight="1">
      <c r="A672" s="35"/>
      <c r="B672" s="25">
        <v>1</v>
      </c>
      <c r="C672" s="26" t="str">
        <f>IF('Fee Receipt (Class-wise)'!C1211="", "", 'Fee Receipt (Class-wise)'!C1211)</f>
        <v>ABEKAH CATHRINE</v>
      </c>
      <c r="D672" s="25">
        <f>'Fee Receipt (Class-wise)'!K1211</f>
        <v>280</v>
      </c>
      <c r="E672" s="23"/>
      <c r="F672" s="25">
        <v>31</v>
      </c>
      <c r="G672" s="26" t="str">
        <f>IF('Fee Receipt (Class-wise)'!C1241="", "", 'Fee Receipt (Class-wise)'!C1241)</f>
        <v>WEPIA EMMANUELLA</v>
      </c>
      <c r="H672" s="25">
        <f>'Fee Receipt (Class-wise)'!K1241</f>
        <v>580</v>
      </c>
      <c r="I672" s="23"/>
    </row>
    <row r="673" spans="1:9" ht="14.45" customHeight="1">
      <c r="A673" s="35"/>
      <c r="B673" s="25">
        <v>2</v>
      </c>
      <c r="C673" s="26" t="str">
        <f>IF('Fee Receipt (Class-wise)'!C1212="", "", 'Fee Receipt (Class-wise)'!C1212)</f>
        <v>ABUDETSE CALEB</v>
      </c>
      <c r="D673" s="25">
        <f>'Fee Receipt (Class-wise)'!K1212</f>
        <v>0</v>
      </c>
      <c r="E673" s="23"/>
      <c r="F673" s="25">
        <v>32</v>
      </c>
      <c r="G673" s="26" t="str">
        <f>IF('Fee Receipt (Class-wise)'!C1242="", "", 'Fee Receipt (Class-wise)'!C1242)</f>
        <v>ZUURI ELIKPLIM KAREN</v>
      </c>
      <c r="H673" s="25">
        <f>'Fee Receipt (Class-wise)'!K1242</f>
        <v>480</v>
      </c>
      <c r="I673" s="23"/>
    </row>
    <row r="674" spans="1:9" ht="14.45" customHeight="1">
      <c r="A674" s="35"/>
      <c r="B674" s="25">
        <v>3</v>
      </c>
      <c r="C674" s="26" t="str">
        <f>IF('Fee Receipt (Class-wise)'!C1213="", "", 'Fee Receipt (Class-wise)'!C1213)</f>
        <v>ACQUAYE RUELE</v>
      </c>
      <c r="D674" s="25">
        <f>'Fee Receipt (Class-wise)'!K1213</f>
        <v>0</v>
      </c>
      <c r="E674" s="23"/>
      <c r="F674" s="25">
        <v>33</v>
      </c>
      <c r="G674" s="26" t="str">
        <f>IF('Fee Receipt (Class-wise)'!C1243="", "", 'Fee Receipt (Class-wise)'!C1243)</f>
        <v/>
      </c>
      <c r="H674" s="25">
        <f>'Fee Receipt (Class-wise)'!K1243</f>
        <v>980</v>
      </c>
      <c r="I674" s="23"/>
    </row>
    <row r="675" spans="1:9" ht="14.45" customHeight="1">
      <c r="A675" s="35"/>
      <c r="B675" s="25">
        <v>4</v>
      </c>
      <c r="C675" s="26" t="str">
        <f>IF('Fee Receipt (Class-wise)'!C1214="", "", 'Fee Receipt (Class-wise)'!C1214)</f>
        <v>ADZINU JEREMIAH</v>
      </c>
      <c r="D675" s="25">
        <f>'Fee Receipt (Class-wise)'!K1214</f>
        <v>760</v>
      </c>
      <c r="E675" s="23"/>
      <c r="F675" s="25">
        <v>34</v>
      </c>
      <c r="G675" s="26" t="str">
        <f>IF('Fee Receipt (Class-wise)'!C1244="", "", 'Fee Receipt (Class-wise)'!C1244)</f>
        <v/>
      </c>
      <c r="H675" s="25">
        <f>'Fee Receipt (Class-wise)'!K1244</f>
        <v>980</v>
      </c>
      <c r="I675" s="23"/>
    </row>
    <row r="676" spans="1:9" ht="14.45" customHeight="1">
      <c r="A676" s="35"/>
      <c r="B676" s="25">
        <v>5</v>
      </c>
      <c r="C676" s="26" t="str">
        <f>IF('Fee Receipt (Class-wise)'!C1215="", "", 'Fee Receipt (Class-wise)'!C1215)</f>
        <v>AGBADI EMMANUELLA</v>
      </c>
      <c r="D676" s="25">
        <f>'Fee Receipt (Class-wise)'!K1215</f>
        <v>480</v>
      </c>
      <c r="E676" s="23"/>
      <c r="F676" s="25">
        <v>35</v>
      </c>
      <c r="G676" s="26" t="str">
        <f>IF('Fee Receipt (Class-wise)'!C1245="", "", 'Fee Receipt (Class-wise)'!C1245)</f>
        <v/>
      </c>
      <c r="H676" s="25">
        <f>'Fee Receipt (Class-wise)'!K1245</f>
        <v>980</v>
      </c>
      <c r="I676" s="23"/>
    </row>
    <row r="677" spans="1:9" ht="14.45" customHeight="1">
      <c r="A677" s="35"/>
      <c r="B677" s="25">
        <v>6</v>
      </c>
      <c r="C677" s="26" t="str">
        <f>IF('Fee Receipt (Class-wise)'!C1216="", "", 'Fee Receipt (Class-wise)'!C1216)</f>
        <v>AHIABA WILLIAM</v>
      </c>
      <c r="D677" s="25">
        <f>'Fee Receipt (Class-wise)'!K1216</f>
        <v>280</v>
      </c>
      <c r="E677" s="23"/>
      <c r="F677" s="25">
        <v>36</v>
      </c>
      <c r="G677" s="26" t="str">
        <f>IF('Fee Receipt (Class-wise)'!C1246="", "", 'Fee Receipt (Class-wise)'!C1246)</f>
        <v/>
      </c>
      <c r="H677" s="25">
        <f>'Fee Receipt (Class-wise)'!K1246</f>
        <v>980</v>
      </c>
      <c r="I677" s="23"/>
    </row>
    <row r="678" spans="1:9" ht="14.45" customHeight="1">
      <c r="A678" s="35"/>
      <c r="B678" s="25">
        <v>7</v>
      </c>
      <c r="C678" s="26" t="str">
        <f>IF('Fee Receipt (Class-wise)'!C1217="", "", 'Fee Receipt (Class-wise)'!C1217)</f>
        <v>AMETEPE DESMOND</v>
      </c>
      <c r="D678" s="25">
        <f>'Fee Receipt (Class-wise)'!K1217</f>
        <v>0</v>
      </c>
      <c r="E678" s="23"/>
      <c r="F678" s="25">
        <v>37</v>
      </c>
      <c r="G678" s="26" t="str">
        <f>IF('Fee Receipt (Class-wise)'!C1247="", "", 'Fee Receipt (Class-wise)'!C1247)</f>
        <v/>
      </c>
      <c r="H678" s="25">
        <f>'Fee Receipt (Class-wise)'!K1247</f>
        <v>980</v>
      </c>
      <c r="I678" s="23"/>
    </row>
    <row r="679" spans="1:9" ht="14.45" customHeight="1">
      <c r="A679" s="35"/>
      <c r="B679" s="25">
        <v>8</v>
      </c>
      <c r="C679" s="26" t="str">
        <f>IF('Fee Receipt (Class-wise)'!C1218="", "", 'Fee Receipt (Class-wise)'!C1218)</f>
        <v>AMOAKO FREDA</v>
      </c>
      <c r="D679" s="25">
        <f>'Fee Receipt (Class-wise)'!K1218</f>
        <v>380</v>
      </c>
      <c r="E679" s="23"/>
      <c r="F679" s="25">
        <v>38</v>
      </c>
      <c r="G679" s="26" t="str">
        <f>IF('Fee Receipt (Class-wise)'!C1248="", "", 'Fee Receipt (Class-wise)'!C1248)</f>
        <v/>
      </c>
      <c r="H679" s="25">
        <f>'Fee Receipt (Class-wise)'!K1248</f>
        <v>980</v>
      </c>
      <c r="I679" s="23"/>
    </row>
    <row r="680" spans="1:9" ht="14.45" customHeight="1">
      <c r="A680" s="35"/>
      <c r="B680" s="25">
        <v>9</v>
      </c>
      <c r="C680" s="26" t="str">
        <f>IF('Fee Receipt (Class-wise)'!C1219="", "", 'Fee Receipt (Class-wise)'!C1219)</f>
        <v>ANTWI DENNIS</v>
      </c>
      <c r="D680" s="25">
        <f>'Fee Receipt (Class-wise)'!K1219</f>
        <v>660</v>
      </c>
      <c r="E680" s="23"/>
      <c r="F680" s="25">
        <v>39</v>
      </c>
      <c r="G680" s="26" t="str">
        <f>IF('Fee Receipt (Class-wise)'!C1249="", "", 'Fee Receipt (Class-wise)'!C1249)</f>
        <v/>
      </c>
      <c r="H680" s="25">
        <f>'Fee Receipt (Class-wise)'!K1249</f>
        <v>980</v>
      </c>
      <c r="I680" s="23"/>
    </row>
    <row r="681" spans="1:9" ht="14.45" customHeight="1">
      <c r="A681" s="35"/>
      <c r="B681" s="25">
        <v>10</v>
      </c>
      <c r="C681" s="26" t="str">
        <f>IF('Fee Receipt (Class-wise)'!C1220="", "", 'Fee Receipt (Class-wise)'!C1220)</f>
        <v>AYIN KINGSFORD</v>
      </c>
      <c r="D681" s="25">
        <f>'Fee Receipt (Class-wise)'!K1220</f>
        <v>580</v>
      </c>
      <c r="E681" s="23"/>
      <c r="F681" s="25">
        <v>40</v>
      </c>
      <c r="G681" s="26" t="str">
        <f>IF('Fee Receipt (Class-wise)'!C1250="", "", 'Fee Receipt (Class-wise)'!C1250)</f>
        <v/>
      </c>
      <c r="H681" s="25">
        <f>'Fee Receipt (Class-wise)'!K1250</f>
        <v>980</v>
      </c>
      <c r="I681" s="23"/>
    </row>
    <row r="682" spans="1:9" ht="14.45" customHeight="1">
      <c r="A682" s="35"/>
      <c r="B682" s="25">
        <v>11</v>
      </c>
      <c r="C682" s="26" t="str">
        <f>IF('Fee Receipt (Class-wise)'!C1221="", "", 'Fee Receipt (Class-wise)'!C1221)</f>
        <v>BAIDEN DANIELLA</v>
      </c>
      <c r="D682" s="25">
        <f>'Fee Receipt (Class-wise)'!K1221</f>
        <v>580</v>
      </c>
      <c r="E682" s="23"/>
      <c r="F682" s="25">
        <v>41</v>
      </c>
      <c r="G682" s="26" t="str">
        <f>IF('Fee Receipt (Class-wise)'!C1251="", "", 'Fee Receipt (Class-wise)'!C1251)</f>
        <v/>
      </c>
      <c r="H682" s="25">
        <f>'Fee Receipt (Class-wise)'!K1251</f>
        <v>980</v>
      </c>
      <c r="I682" s="23"/>
    </row>
    <row r="683" spans="1:9" ht="14.45" customHeight="1">
      <c r="A683" s="35"/>
      <c r="B683" s="25">
        <v>12</v>
      </c>
      <c r="C683" s="26" t="str">
        <f>IF('Fee Receipt (Class-wise)'!C1222="", "", 'Fee Receipt (Class-wise)'!C1222)</f>
        <v>BOTCHWAY OHENEBA</v>
      </c>
      <c r="D683" s="25">
        <f>'Fee Receipt (Class-wise)'!K1222</f>
        <v>0</v>
      </c>
      <c r="E683" s="23"/>
      <c r="F683" s="25">
        <v>42</v>
      </c>
      <c r="G683" s="26" t="str">
        <f>IF('Fee Receipt (Class-wise)'!C1252="", "", 'Fee Receipt (Class-wise)'!C1252)</f>
        <v/>
      </c>
      <c r="H683" s="25">
        <f>'Fee Receipt (Class-wise)'!K1252</f>
        <v>980</v>
      </c>
      <c r="I683" s="23"/>
    </row>
    <row r="684" spans="1:9" ht="14.45" customHeight="1">
      <c r="A684" s="35"/>
      <c r="B684" s="25">
        <v>13</v>
      </c>
      <c r="C684" s="26" t="str">
        <f>IF('Fee Receipt (Class-wise)'!C1223="", "", 'Fee Receipt (Class-wise)'!C1223)</f>
        <v>DOMINION HEAVENSENT</v>
      </c>
      <c r="D684" s="25">
        <f>'Fee Receipt (Class-wise)'!K1223</f>
        <v>780</v>
      </c>
      <c r="E684" s="23"/>
      <c r="F684" s="25">
        <v>43</v>
      </c>
      <c r="G684" s="26" t="str">
        <f>IF('Fee Receipt (Class-wise)'!C1253="", "", 'Fee Receipt (Class-wise)'!C1253)</f>
        <v/>
      </c>
      <c r="H684" s="25">
        <f>'Fee Receipt (Class-wise)'!K1253</f>
        <v>980</v>
      </c>
      <c r="I684" s="23"/>
    </row>
    <row r="685" spans="1:9" ht="14.45" customHeight="1">
      <c r="A685" s="35"/>
      <c r="B685" s="25">
        <v>14</v>
      </c>
      <c r="C685" s="26" t="str">
        <f>IF('Fee Receipt (Class-wise)'!C1224="", "", 'Fee Receipt (Class-wise)'!C1224)</f>
        <v>DORFENYO RICHARD</v>
      </c>
      <c r="D685" s="25">
        <f>'Fee Receipt (Class-wise)'!K1224</f>
        <v>480</v>
      </c>
      <c r="E685" s="23"/>
      <c r="F685" s="25">
        <v>44</v>
      </c>
      <c r="G685" s="26" t="str">
        <f>IF('Fee Receipt (Class-wise)'!C1254="", "", 'Fee Receipt (Class-wise)'!C1254)</f>
        <v/>
      </c>
      <c r="H685" s="25">
        <f>'Fee Receipt (Class-wise)'!K1254</f>
        <v>980</v>
      </c>
      <c r="I685" s="23"/>
    </row>
    <row r="686" spans="1:9" ht="14.45" customHeight="1">
      <c r="A686" s="35"/>
      <c r="B686" s="25">
        <v>15</v>
      </c>
      <c r="C686" s="26" t="str">
        <f>IF('Fee Receipt (Class-wise)'!C1225="", "", 'Fee Receipt (Class-wise)'!C1225)</f>
        <v>DZINADO FRANCISCA</v>
      </c>
      <c r="D686" s="25">
        <f>'Fee Receipt (Class-wise)'!K1225</f>
        <v>480</v>
      </c>
      <c r="E686" s="23"/>
      <c r="F686" s="25">
        <v>45</v>
      </c>
      <c r="G686" s="26" t="str">
        <f>IF('Fee Receipt (Class-wise)'!C1255="", "", 'Fee Receipt (Class-wise)'!C1255)</f>
        <v/>
      </c>
      <c r="H686" s="25">
        <f>'Fee Receipt (Class-wise)'!K1255</f>
        <v>980</v>
      </c>
      <c r="I686" s="23"/>
    </row>
    <row r="687" spans="1:9" ht="14.45" customHeight="1">
      <c r="A687" s="35"/>
      <c r="B687" s="25">
        <v>16</v>
      </c>
      <c r="C687" s="26" t="str">
        <f>IF('Fee Receipt (Class-wise)'!C1226="", "", 'Fee Receipt (Class-wise)'!C1226)</f>
        <v>GLAH JEREMY</v>
      </c>
      <c r="D687" s="25">
        <f>'Fee Receipt (Class-wise)'!K1226</f>
        <v>580</v>
      </c>
      <c r="E687" s="23"/>
      <c r="F687" s="25">
        <v>46</v>
      </c>
      <c r="G687" s="26" t="str">
        <f>IF('Fee Receipt (Class-wise)'!C1256="", "", 'Fee Receipt (Class-wise)'!C1256)</f>
        <v/>
      </c>
      <c r="H687" s="25">
        <f>'Fee Receipt (Class-wise)'!K1256</f>
        <v>980</v>
      </c>
      <c r="I687" s="23"/>
    </row>
    <row r="688" spans="1:9" ht="14.45" customHeight="1">
      <c r="A688" s="35"/>
      <c r="B688" s="25">
        <v>17</v>
      </c>
      <c r="C688" s="26" t="str">
        <f>IF('Fee Receipt (Class-wise)'!C1227="", "", 'Fee Receipt (Class-wise)'!C1227)</f>
        <v>ISMAILA SAIDA</v>
      </c>
      <c r="D688" s="25">
        <f>'Fee Receipt (Class-wise)'!K1227</f>
        <v>480</v>
      </c>
      <c r="E688" s="23"/>
      <c r="F688" s="25">
        <v>47</v>
      </c>
      <c r="G688" s="26" t="str">
        <f>IF('Fee Receipt (Class-wise)'!C1257="", "", 'Fee Receipt (Class-wise)'!C1257)</f>
        <v/>
      </c>
      <c r="H688" s="25">
        <f>'Fee Receipt (Class-wise)'!K1257</f>
        <v>980</v>
      </c>
      <c r="I688" s="23"/>
    </row>
    <row r="689" spans="1:9" ht="14.45" customHeight="1">
      <c r="A689" s="35"/>
      <c r="B689" s="25">
        <v>18</v>
      </c>
      <c r="C689" s="26" t="str">
        <f>IF('Fee Receipt (Class-wise)'!C1228="", "", 'Fee Receipt (Class-wise)'!C1228)</f>
        <v>KORMEGBE SEYRAM JANICE</v>
      </c>
      <c r="D689" s="25">
        <f>'Fee Receipt (Class-wise)'!K1228</f>
        <v>80</v>
      </c>
      <c r="E689" s="23"/>
      <c r="F689" s="25">
        <v>48</v>
      </c>
      <c r="G689" s="26" t="str">
        <f>IF('Fee Receipt (Class-wise)'!C1258="", "", 'Fee Receipt (Class-wise)'!C1258)</f>
        <v/>
      </c>
      <c r="H689" s="25">
        <f>'Fee Receipt (Class-wise)'!K1258</f>
        <v>980</v>
      </c>
      <c r="I689" s="23"/>
    </row>
    <row r="690" spans="1:9" ht="14.45" customHeight="1">
      <c r="A690" s="35"/>
      <c r="B690" s="25">
        <v>19</v>
      </c>
      <c r="C690" s="26" t="str">
        <f>IF('Fee Receipt (Class-wise)'!C1229="", "", 'Fee Receipt (Class-wise)'!C1229)</f>
        <v>KUNYE ETORANAM JUDITH</v>
      </c>
      <c r="D690" s="25">
        <f>'Fee Receipt (Class-wise)'!K1229</f>
        <v>960</v>
      </c>
      <c r="E690" s="23"/>
      <c r="F690" s="25">
        <v>49</v>
      </c>
      <c r="G690" s="26" t="str">
        <f>IF('Fee Receipt (Class-wise)'!C1259="", "", 'Fee Receipt (Class-wise)'!C1259)</f>
        <v/>
      </c>
      <c r="H690" s="25">
        <f>'Fee Receipt (Class-wise)'!K1259</f>
        <v>980</v>
      </c>
      <c r="I690" s="23"/>
    </row>
    <row r="691" spans="1:9" ht="14.45" customHeight="1">
      <c r="A691" s="35"/>
      <c r="B691" s="25">
        <v>20</v>
      </c>
      <c r="C691" s="26" t="str">
        <f>IF('Fee Receipt (Class-wise)'!C1230="", "", 'Fee Receipt (Class-wise)'!C1230)</f>
        <v>KWAWUKUME JULIET</v>
      </c>
      <c r="D691" s="25">
        <f>'Fee Receipt (Class-wise)'!K1230</f>
        <v>370</v>
      </c>
      <c r="E691" s="23"/>
      <c r="F691" s="25">
        <v>50</v>
      </c>
      <c r="G691" s="26" t="str">
        <f>IF('Fee Receipt (Class-wise)'!C1260="", "", 'Fee Receipt (Class-wise)'!C1260)</f>
        <v/>
      </c>
      <c r="H691" s="25">
        <f>'Fee Receipt (Class-wise)'!K1260</f>
        <v>980</v>
      </c>
      <c r="I691" s="23"/>
    </row>
    <row r="692" spans="1:9" ht="14.45" customHeight="1">
      <c r="A692" s="35"/>
      <c r="B692" s="25">
        <v>21</v>
      </c>
      <c r="C692" s="26" t="str">
        <f>IF('Fee Receipt (Class-wise)'!C1231="", "", 'Fee Receipt (Class-wise)'!C1231)</f>
        <v>MENSAH COMFORT</v>
      </c>
      <c r="D692" s="25">
        <f>'Fee Receipt (Class-wise)'!K1231</f>
        <v>260</v>
      </c>
      <c r="E692" s="23"/>
      <c r="F692" s="25">
        <v>51</v>
      </c>
      <c r="G692" s="26" t="str">
        <f>IF('Fee Receipt (Class-wise)'!C1261="", "", 'Fee Receipt (Class-wise)'!C1261)</f>
        <v/>
      </c>
      <c r="H692" s="25">
        <f>'Fee Receipt (Class-wise)'!K1261</f>
        <v>980</v>
      </c>
      <c r="I692" s="23"/>
    </row>
    <row r="693" spans="1:9" ht="14.45" customHeight="1">
      <c r="A693" s="35"/>
      <c r="B693" s="25">
        <v>22</v>
      </c>
      <c r="C693" s="26" t="str">
        <f>IF('Fee Receipt (Class-wise)'!C1232="", "", 'Fee Receipt (Class-wise)'!C1232)</f>
        <v>ABAYATEYE LORD</v>
      </c>
      <c r="D693" s="25">
        <f>'Fee Receipt (Class-wise)'!K1232</f>
        <v>0</v>
      </c>
      <c r="E693" s="23"/>
      <c r="F693" s="25">
        <v>52</v>
      </c>
      <c r="G693" s="26" t="str">
        <f>IF('Fee Receipt (Class-wise)'!C1262="", "", 'Fee Receipt (Class-wise)'!C1262)</f>
        <v/>
      </c>
      <c r="H693" s="25">
        <f>'Fee Receipt (Class-wise)'!K1262</f>
        <v>980</v>
      </c>
      <c r="I693" s="23"/>
    </row>
    <row r="694" spans="1:9" ht="14.45" customHeight="1">
      <c r="A694" s="35"/>
      <c r="B694" s="25">
        <v>23</v>
      </c>
      <c r="C694" s="26" t="str">
        <f>IF('Fee Receipt (Class-wise)'!C1233="", "", 'Fee Receipt (Class-wise)'!C1233)</f>
        <v>MENSAH OSCAR</v>
      </c>
      <c r="D694" s="25">
        <f>'Fee Receipt (Class-wise)'!K1233</f>
        <v>580</v>
      </c>
      <c r="E694" s="23"/>
      <c r="F694" s="25">
        <v>53</v>
      </c>
      <c r="G694" s="26" t="str">
        <f>IF('Fee Receipt (Class-wise)'!C1263="", "", 'Fee Receipt (Class-wise)'!C1263)</f>
        <v/>
      </c>
      <c r="H694" s="25">
        <f>'Fee Receipt (Class-wise)'!K1263</f>
        <v>980</v>
      </c>
      <c r="I694" s="23"/>
    </row>
    <row r="695" spans="1:9" ht="14.45" customHeight="1">
      <c r="A695" s="35"/>
      <c r="B695" s="25">
        <v>24</v>
      </c>
      <c r="C695" s="26" t="str">
        <f>IF('Fee Receipt (Class-wise)'!C1234="", "", 'Fee Receipt (Class-wise)'!C1234)</f>
        <v>MOHAMMED ISMAIL AMEIRA</v>
      </c>
      <c r="D695" s="25">
        <f>'Fee Receipt (Class-wise)'!K1234</f>
        <v>0</v>
      </c>
      <c r="E695" s="23"/>
      <c r="F695" s="25">
        <v>54</v>
      </c>
      <c r="G695" s="26" t="str">
        <f>IF('Fee Receipt (Class-wise)'!C1264="", "", 'Fee Receipt (Class-wise)'!C1264)</f>
        <v/>
      </c>
      <c r="H695" s="25">
        <f>'Fee Receipt (Class-wise)'!K1264</f>
        <v>980</v>
      </c>
      <c r="I695" s="23"/>
    </row>
    <row r="696" spans="1:9" ht="14.45" customHeight="1">
      <c r="A696" s="35"/>
      <c r="B696" s="25">
        <v>25</v>
      </c>
      <c r="C696" s="26" t="str">
        <f>IF('Fee Receipt (Class-wise)'!C1235="", "", 'Fee Receipt (Class-wise)'!C1235)</f>
        <v>NUNOO JULIANA</v>
      </c>
      <c r="D696" s="25">
        <f>'Fee Receipt (Class-wise)'!K1235</f>
        <v>710</v>
      </c>
      <c r="E696" s="23"/>
      <c r="F696" s="25">
        <v>55</v>
      </c>
      <c r="G696" s="26" t="str">
        <f>IF('Fee Receipt (Class-wise)'!C1265="", "", 'Fee Receipt (Class-wise)'!C1265)</f>
        <v/>
      </c>
      <c r="H696" s="25">
        <f>'Fee Receipt (Class-wise)'!K1265</f>
        <v>980</v>
      </c>
      <c r="I696" s="23"/>
    </row>
    <row r="697" spans="1:9" ht="14.45" customHeight="1">
      <c r="A697" s="35"/>
      <c r="B697" s="25">
        <v>26</v>
      </c>
      <c r="C697" s="26" t="str">
        <f>IF('Fee Receipt (Class-wise)'!C1236="", "", 'Fee Receipt (Class-wise)'!C1236)</f>
        <v>OMAN THELMA</v>
      </c>
      <c r="D697" s="25">
        <f>'Fee Receipt (Class-wise)'!K1236</f>
        <v>480</v>
      </c>
      <c r="E697" s="23"/>
      <c r="F697" s="25">
        <v>56</v>
      </c>
      <c r="G697" s="26" t="str">
        <f>IF('Fee Receipt (Class-wise)'!C1266="", "", 'Fee Receipt (Class-wise)'!C1266)</f>
        <v/>
      </c>
      <c r="H697" s="25">
        <f>'Fee Receipt (Class-wise)'!K1266</f>
        <v>980</v>
      </c>
      <c r="I697" s="23"/>
    </row>
    <row r="698" spans="1:9" ht="14.45" customHeight="1">
      <c r="A698" s="35"/>
      <c r="B698" s="25">
        <v>27</v>
      </c>
      <c r="C698" s="26" t="str">
        <f>IF('Fee Receipt (Class-wise)'!C1237="", "", 'Fee Receipt (Class-wise)'!C1237)</f>
        <v>SULEMAN ABDUL BASIT</v>
      </c>
      <c r="D698" s="25">
        <f>'Fee Receipt (Class-wise)'!K1237</f>
        <v>430</v>
      </c>
      <c r="E698" s="23"/>
      <c r="F698" s="25">
        <v>57</v>
      </c>
      <c r="G698" s="26" t="str">
        <f>IF('Fee Receipt (Class-wise)'!C1267="", "", 'Fee Receipt (Class-wise)'!C1267)</f>
        <v/>
      </c>
      <c r="H698" s="25">
        <f>'Fee Receipt (Class-wise)'!K1267</f>
        <v>980</v>
      </c>
      <c r="I698" s="23"/>
    </row>
    <row r="699" spans="1:9" ht="14.45" customHeight="1">
      <c r="A699" s="35"/>
      <c r="B699" s="25">
        <v>28</v>
      </c>
      <c r="C699" s="26" t="str">
        <f>IF('Fee Receipt (Class-wise)'!C1238="", "", 'Fee Receipt (Class-wise)'!C1238)</f>
        <v>TETTEY DEDE VANESSA</v>
      </c>
      <c r="D699" s="25">
        <f>'Fee Receipt (Class-wise)'!K1238</f>
        <v>700</v>
      </c>
      <c r="E699" s="23"/>
      <c r="F699" s="25">
        <v>58</v>
      </c>
      <c r="G699" s="26" t="str">
        <f>IF('Fee Receipt (Class-wise)'!C1268="", "", 'Fee Receipt (Class-wise)'!C1268)</f>
        <v/>
      </c>
      <c r="H699" s="25">
        <f>'Fee Receipt (Class-wise)'!K1268</f>
        <v>980</v>
      </c>
      <c r="I699" s="23"/>
    </row>
    <row r="700" spans="1:9" ht="14.45" customHeight="1">
      <c r="A700" s="35"/>
      <c r="B700" s="25">
        <v>29</v>
      </c>
      <c r="C700" s="26" t="str">
        <f>IF('Fee Receipt (Class-wise)'!C1239="", "", 'Fee Receipt (Class-wise)'!C1239)</f>
        <v>TOKORI JOHN</v>
      </c>
      <c r="D700" s="25">
        <f>'Fee Receipt (Class-wise)'!K1239</f>
        <v>480</v>
      </c>
      <c r="E700" s="23"/>
      <c r="F700" s="25">
        <v>59</v>
      </c>
      <c r="G700" s="26" t="str">
        <f>IF('Fee Receipt (Class-wise)'!C1269="", "", 'Fee Receipt (Class-wise)'!C1269)</f>
        <v/>
      </c>
      <c r="H700" s="25">
        <f>'Fee Receipt (Class-wise)'!K1269</f>
        <v>980</v>
      </c>
      <c r="I700" s="23"/>
    </row>
    <row r="701" spans="1:9" ht="14.45" customHeight="1">
      <c r="A701" s="35"/>
      <c r="B701" s="25">
        <v>30</v>
      </c>
      <c r="C701" s="26" t="str">
        <f>IF('Fee Receipt (Class-wise)'!C1240="", "", 'Fee Receipt (Class-wise)'!C1240)</f>
        <v>TUDJI FREDERICK</v>
      </c>
      <c r="D701" s="25">
        <f>'Fee Receipt (Class-wise)'!K1240</f>
        <v>480</v>
      </c>
      <c r="E701" s="23"/>
      <c r="F701" s="25">
        <v>60</v>
      </c>
      <c r="G701" s="26" t="str">
        <f>IF('Fee Receipt (Class-wise)'!C1270="", "", 'Fee Receipt (Class-wise)'!C1270)</f>
        <v/>
      </c>
      <c r="H701" s="25">
        <f>'Fee Receipt (Class-wise)'!K1270</f>
        <v>980</v>
      </c>
      <c r="I701" s="23"/>
    </row>
    <row r="702" spans="1:9" ht="14.45" customHeight="1">
      <c r="A702" s="35"/>
      <c r="B702" s="25"/>
      <c r="C702" s="23"/>
      <c r="D702" s="23"/>
      <c r="E702" s="23"/>
      <c r="F702" s="33" t="s">
        <v>31</v>
      </c>
      <c r="G702" s="33"/>
      <c r="H702" s="24">
        <f>SUM(D672:D701)+SUM(H672:H701)</f>
        <v>40830</v>
      </c>
      <c r="I702" s="23"/>
    </row>
    <row r="703" spans="1:9" ht="14.45" customHeight="1">
      <c r="B703" s="23"/>
      <c r="C703" s="23"/>
      <c r="D703" s="23"/>
      <c r="E703" s="23"/>
      <c r="F703" s="23"/>
      <c r="G703" s="23"/>
      <c r="H703" s="23"/>
      <c r="I703" s="23"/>
    </row>
    <row r="704" spans="1:9" ht="14.45" customHeight="1">
      <c r="B704" s="23"/>
      <c r="C704" s="23"/>
      <c r="D704" s="23"/>
      <c r="E704" s="23"/>
      <c r="F704" s="23"/>
      <c r="G704" s="23"/>
      <c r="H704" s="23"/>
      <c r="I704" s="23"/>
    </row>
    <row r="705" spans="1:9" ht="14.45" customHeight="1">
      <c r="A705" s="49">
        <v>20</v>
      </c>
      <c r="B705" s="35" t="s">
        <v>33</v>
      </c>
      <c r="C705" s="35"/>
      <c r="D705" s="35"/>
      <c r="E705" s="35"/>
      <c r="F705" s="35"/>
      <c r="G705" s="35"/>
      <c r="H705" s="24" t="s">
        <v>36</v>
      </c>
      <c r="I705" s="23"/>
    </row>
    <row r="706" spans="1:9" ht="14.45" customHeight="1">
      <c r="A706" s="49"/>
      <c r="B706" s="23" t="s">
        <v>35</v>
      </c>
      <c r="C706" s="50" t="str">
        <f>IF('Fee Receipt (Class-wise)'!C1275="", "", 'Fee Receipt (Class-wise)'!C1275)</f>
        <v>BASIC 8A</v>
      </c>
      <c r="D706" s="50"/>
      <c r="E706" s="23"/>
      <c r="F706" s="23"/>
      <c r="G706" s="23"/>
      <c r="H706" s="49">
        <f>IF(C706="", "", H739)</f>
        <v>42550</v>
      </c>
      <c r="I706" s="23"/>
    </row>
    <row r="707" spans="1:9" ht="14.45" customHeight="1">
      <c r="A707" s="49"/>
      <c r="B707" s="23" t="s">
        <v>34</v>
      </c>
      <c r="C707" s="50" t="str">
        <f>IF(C706="", "", 'Fee Receipt (Class-wise)'!$H$2)</f>
        <v>2025-26</v>
      </c>
      <c r="D707" s="50"/>
      <c r="E707" s="23"/>
      <c r="F707" s="23"/>
      <c r="G707" s="23"/>
      <c r="H707" s="49"/>
      <c r="I707" s="23"/>
    </row>
    <row r="708" spans="1:9" ht="14.45" customHeight="1">
      <c r="A708" s="35"/>
      <c r="B708" s="25" t="s">
        <v>1</v>
      </c>
      <c r="C708" s="25" t="s">
        <v>2</v>
      </c>
      <c r="D708" s="25" t="s">
        <v>9</v>
      </c>
      <c r="E708" s="23"/>
      <c r="F708" s="25" t="s">
        <v>1</v>
      </c>
      <c r="G708" s="25" t="s">
        <v>2</v>
      </c>
      <c r="H708" s="25" t="s">
        <v>9</v>
      </c>
      <c r="I708" s="23"/>
    </row>
    <row r="709" spans="1:9" ht="14.45" customHeight="1">
      <c r="A709" s="35"/>
      <c r="B709" s="25">
        <v>1</v>
      </c>
      <c r="C709" s="26" t="str">
        <f>IF('Fee Receipt (Class-wise)'!C1278="", "", 'Fee Receipt (Class-wise)'!C1278)</f>
        <v>ABDUL-KADIR AYISHA</v>
      </c>
      <c r="D709" s="25">
        <f>'Fee Receipt (Class-wise)'!K1278</f>
        <v>680</v>
      </c>
      <c r="E709" s="23"/>
      <c r="F709" s="25">
        <v>31</v>
      </c>
      <c r="G709" s="26" t="str">
        <f>IF('Fee Receipt (Class-wise)'!C1308="", "", 'Fee Receipt (Class-wise)'!C1308)</f>
        <v/>
      </c>
      <c r="H709" s="25">
        <f>'Fee Receipt (Class-wise)'!K1308</f>
        <v>980</v>
      </c>
      <c r="I709" s="23"/>
    </row>
    <row r="710" spans="1:9" ht="14.45" customHeight="1">
      <c r="A710" s="35"/>
      <c r="B710" s="25">
        <v>2</v>
      </c>
      <c r="C710" s="26" t="str">
        <f>IF('Fee Receipt (Class-wise)'!C1279="", "", 'Fee Receipt (Class-wise)'!C1279)</f>
        <v>ABDUL-MAJID SUAD</v>
      </c>
      <c r="D710" s="25">
        <f>'Fee Receipt (Class-wise)'!K1279</f>
        <v>380</v>
      </c>
      <c r="E710" s="23"/>
      <c r="F710" s="25">
        <v>32</v>
      </c>
      <c r="G710" s="26" t="str">
        <f>IF('Fee Receipt (Class-wise)'!C1309="", "", 'Fee Receipt (Class-wise)'!C1309)</f>
        <v/>
      </c>
      <c r="H710" s="25">
        <f>'Fee Receipt (Class-wise)'!K1309</f>
        <v>980</v>
      </c>
      <c r="I710" s="23"/>
    </row>
    <row r="711" spans="1:9" ht="14.45" customHeight="1">
      <c r="A711" s="35"/>
      <c r="B711" s="25">
        <v>3</v>
      </c>
      <c r="C711" s="26" t="str">
        <f>IF('Fee Receipt (Class-wise)'!C1280="", "", 'Fee Receipt (Class-wise)'!C1280)</f>
        <v>AGYEMANG JUDE</v>
      </c>
      <c r="D711" s="25">
        <f>'Fee Receipt (Class-wise)'!K1280</f>
        <v>0</v>
      </c>
      <c r="E711" s="23"/>
      <c r="F711" s="25">
        <v>33</v>
      </c>
      <c r="G711" s="26" t="str">
        <f>IF('Fee Receipt (Class-wise)'!C1310="", "", 'Fee Receipt (Class-wise)'!C1310)</f>
        <v/>
      </c>
      <c r="H711" s="25">
        <f>'Fee Receipt (Class-wise)'!K1310</f>
        <v>980</v>
      </c>
      <c r="I711" s="23"/>
    </row>
    <row r="712" spans="1:9" ht="14.45" customHeight="1">
      <c r="A712" s="35"/>
      <c r="B712" s="25">
        <v>4</v>
      </c>
      <c r="C712" s="26" t="str">
        <f>IF('Fee Receipt (Class-wise)'!C1281="", "", 'Fee Receipt (Class-wise)'!C1281)</f>
        <v>AHEVOR BENEDICTA</v>
      </c>
      <c r="D712" s="25">
        <f>'Fee Receipt (Class-wise)'!K1281</f>
        <v>0</v>
      </c>
      <c r="E712" s="23"/>
      <c r="F712" s="25">
        <v>34</v>
      </c>
      <c r="G712" s="26" t="str">
        <f>IF('Fee Receipt (Class-wise)'!C1311="", "", 'Fee Receipt (Class-wise)'!C1311)</f>
        <v/>
      </c>
      <c r="H712" s="25">
        <f>'Fee Receipt (Class-wise)'!K1311</f>
        <v>980</v>
      </c>
      <c r="I712" s="23"/>
    </row>
    <row r="713" spans="1:9" ht="14.45" customHeight="1">
      <c r="A713" s="35"/>
      <c r="B713" s="25">
        <v>5</v>
      </c>
      <c r="C713" s="26" t="str">
        <f>IF('Fee Receipt (Class-wise)'!C1282="", "", 'Fee Receipt (Class-wise)'!C1282)</f>
        <v>AMANKWAH AZARIAH</v>
      </c>
      <c r="D713" s="25">
        <f>'Fee Receipt (Class-wise)'!K1282</f>
        <v>240</v>
      </c>
      <c r="E713" s="23"/>
      <c r="F713" s="25">
        <v>35</v>
      </c>
      <c r="G713" s="26" t="str">
        <f>IF('Fee Receipt (Class-wise)'!C1312="", "", 'Fee Receipt (Class-wise)'!C1312)</f>
        <v/>
      </c>
      <c r="H713" s="25">
        <f>'Fee Receipt (Class-wise)'!K1312</f>
        <v>980</v>
      </c>
      <c r="I713" s="23"/>
    </row>
    <row r="714" spans="1:9" ht="14.45" customHeight="1">
      <c r="A714" s="35"/>
      <c r="B714" s="25">
        <v>6</v>
      </c>
      <c r="C714" s="26" t="str">
        <f>IF('Fee Receipt (Class-wise)'!C1283="", "", 'Fee Receipt (Class-wise)'!C1283)</f>
        <v>APUTU ISABELLE</v>
      </c>
      <c r="D714" s="25">
        <f>'Fee Receipt (Class-wise)'!K1283</f>
        <v>180</v>
      </c>
      <c r="E714" s="23"/>
      <c r="F714" s="25">
        <v>36</v>
      </c>
      <c r="G714" s="26" t="str">
        <f>IF('Fee Receipt (Class-wise)'!C1313="", "", 'Fee Receipt (Class-wise)'!C1313)</f>
        <v/>
      </c>
      <c r="H714" s="25">
        <f>'Fee Receipt (Class-wise)'!K1313</f>
        <v>980</v>
      </c>
      <c r="I714" s="23"/>
    </row>
    <row r="715" spans="1:9" ht="14.45" customHeight="1">
      <c r="A715" s="35"/>
      <c r="B715" s="25">
        <v>7</v>
      </c>
      <c r="C715" s="26" t="str">
        <f>IF('Fee Receipt (Class-wise)'!C1284="", "", 'Fee Receipt (Class-wise)'!C1284)</f>
        <v>ASEIDU GLORIA</v>
      </c>
      <c r="D715" s="25">
        <f>'Fee Receipt (Class-wise)'!K1284</f>
        <v>560</v>
      </c>
      <c r="E715" s="23"/>
      <c r="F715" s="25">
        <v>37</v>
      </c>
      <c r="G715" s="26" t="str">
        <f>IF('Fee Receipt (Class-wise)'!C1314="", "", 'Fee Receipt (Class-wise)'!C1314)</f>
        <v/>
      </c>
      <c r="H715" s="25">
        <f>'Fee Receipt (Class-wise)'!K1314</f>
        <v>980</v>
      </c>
      <c r="I715" s="23"/>
    </row>
    <row r="716" spans="1:9" ht="14.45" customHeight="1">
      <c r="A716" s="35"/>
      <c r="B716" s="25">
        <v>8</v>
      </c>
      <c r="C716" s="26" t="str">
        <f>IF('Fee Receipt (Class-wise)'!C1285="", "", 'Fee Receipt (Class-wise)'!C1285)</f>
        <v>ATINGA OBED</v>
      </c>
      <c r="D716" s="25">
        <f>'Fee Receipt (Class-wise)'!K1285</f>
        <v>0</v>
      </c>
      <c r="E716" s="23"/>
      <c r="F716" s="25">
        <v>38</v>
      </c>
      <c r="G716" s="26" t="str">
        <f>IF('Fee Receipt (Class-wise)'!C1315="", "", 'Fee Receipt (Class-wise)'!C1315)</f>
        <v/>
      </c>
      <c r="H716" s="25">
        <f>'Fee Receipt (Class-wise)'!K1315</f>
        <v>980</v>
      </c>
      <c r="I716" s="23"/>
    </row>
    <row r="717" spans="1:9" ht="14.45" customHeight="1">
      <c r="A717" s="35"/>
      <c r="B717" s="25">
        <v>9</v>
      </c>
      <c r="C717" s="26" t="str">
        <f>IF('Fee Receipt (Class-wise)'!C1286="", "", 'Fee Receipt (Class-wise)'!C1286)</f>
        <v>AWATEY MAUREEN</v>
      </c>
      <c r="D717" s="25">
        <f>'Fee Receipt (Class-wise)'!K1286</f>
        <v>0</v>
      </c>
      <c r="E717" s="23"/>
      <c r="F717" s="25">
        <v>39</v>
      </c>
      <c r="G717" s="26" t="str">
        <f>IF('Fee Receipt (Class-wise)'!C1316="", "", 'Fee Receipt (Class-wise)'!C1316)</f>
        <v/>
      </c>
      <c r="H717" s="25">
        <f>'Fee Receipt (Class-wise)'!K1316</f>
        <v>980</v>
      </c>
      <c r="I717" s="23"/>
    </row>
    <row r="718" spans="1:9" ht="14.45" customHeight="1">
      <c r="A718" s="35"/>
      <c r="B718" s="25">
        <v>10</v>
      </c>
      <c r="C718" s="26" t="str">
        <f>IF('Fee Receipt (Class-wise)'!C1287="", "", 'Fee Receipt (Class-wise)'!C1287)</f>
        <v>AYER PRINCE</v>
      </c>
      <c r="D718" s="25">
        <f>'Fee Receipt (Class-wise)'!K1287</f>
        <v>480</v>
      </c>
      <c r="E718" s="23"/>
      <c r="F718" s="25">
        <v>40</v>
      </c>
      <c r="G718" s="26" t="str">
        <f>IF('Fee Receipt (Class-wise)'!C1317="", "", 'Fee Receipt (Class-wise)'!C1317)</f>
        <v/>
      </c>
      <c r="H718" s="25">
        <f>'Fee Receipt (Class-wise)'!K1317</f>
        <v>980</v>
      </c>
      <c r="I718" s="23"/>
    </row>
    <row r="719" spans="1:9" ht="14.45" customHeight="1">
      <c r="A719" s="35"/>
      <c r="B719" s="25">
        <v>11</v>
      </c>
      <c r="C719" s="26" t="str">
        <f>IF('Fee Receipt (Class-wise)'!C1288="", "", 'Fee Receipt (Class-wise)'!C1288)</f>
        <v>CUDJOE PHINEHAS</v>
      </c>
      <c r="D719" s="25">
        <f>'Fee Receipt (Class-wise)'!K1288</f>
        <v>880</v>
      </c>
      <c r="E719" s="23"/>
      <c r="F719" s="25">
        <v>41</v>
      </c>
      <c r="G719" s="26" t="str">
        <f>IF('Fee Receipt (Class-wise)'!C1318="", "", 'Fee Receipt (Class-wise)'!C1318)</f>
        <v/>
      </c>
      <c r="H719" s="25">
        <f>'Fee Receipt (Class-wise)'!K1318</f>
        <v>980</v>
      </c>
      <c r="I719" s="23"/>
    </row>
    <row r="720" spans="1:9" ht="14.45" customHeight="1">
      <c r="A720" s="35"/>
      <c r="B720" s="25">
        <v>12</v>
      </c>
      <c r="C720" s="26" t="str">
        <f>IF('Fee Receipt (Class-wise)'!C1289="", "", 'Fee Receipt (Class-wise)'!C1289)</f>
        <v>DAWDA MUFIDA</v>
      </c>
      <c r="D720" s="25">
        <f>'Fee Receipt (Class-wise)'!K1289</f>
        <v>480</v>
      </c>
      <c r="E720" s="23"/>
      <c r="F720" s="25">
        <v>42</v>
      </c>
      <c r="G720" s="26" t="str">
        <f>IF('Fee Receipt (Class-wise)'!C1319="", "", 'Fee Receipt (Class-wise)'!C1319)</f>
        <v/>
      </c>
      <c r="H720" s="25">
        <f>'Fee Receipt (Class-wise)'!K1319</f>
        <v>980</v>
      </c>
      <c r="I720" s="23"/>
    </row>
    <row r="721" spans="1:9" ht="14.45" customHeight="1">
      <c r="A721" s="35"/>
      <c r="B721" s="25">
        <v>13</v>
      </c>
      <c r="C721" s="26" t="str">
        <f>IF('Fee Receipt (Class-wise)'!C1290="", "", 'Fee Receipt (Class-wise)'!C1290)</f>
        <v>DEDZO FLORENCE</v>
      </c>
      <c r="D721" s="25">
        <f>'Fee Receipt (Class-wise)'!K1290</f>
        <v>0</v>
      </c>
      <c r="E721" s="23"/>
      <c r="F721" s="25">
        <v>43</v>
      </c>
      <c r="G721" s="26" t="str">
        <f>IF('Fee Receipt (Class-wise)'!C1320="", "", 'Fee Receipt (Class-wise)'!C1320)</f>
        <v/>
      </c>
      <c r="H721" s="25">
        <f>'Fee Receipt (Class-wise)'!K1320</f>
        <v>980</v>
      </c>
      <c r="I721" s="23"/>
    </row>
    <row r="722" spans="1:9" ht="14.45" customHeight="1">
      <c r="A722" s="35"/>
      <c r="B722" s="25">
        <v>14</v>
      </c>
      <c r="C722" s="26" t="str">
        <f>IF('Fee Receipt (Class-wise)'!C1291="", "", 'Fee Receipt (Class-wise)'!C1291)</f>
        <v>EGU GODWIN</v>
      </c>
      <c r="D722" s="25">
        <f>'Fee Receipt (Class-wise)'!K1291</f>
        <v>780</v>
      </c>
      <c r="E722" s="23"/>
      <c r="F722" s="25">
        <v>44</v>
      </c>
      <c r="G722" s="26" t="str">
        <f>IF('Fee Receipt (Class-wise)'!C1321="", "", 'Fee Receipt (Class-wise)'!C1321)</f>
        <v/>
      </c>
      <c r="H722" s="25">
        <f>'Fee Receipt (Class-wise)'!K1321</f>
        <v>980</v>
      </c>
      <c r="I722" s="23"/>
    </row>
    <row r="723" spans="1:9" ht="14.45" customHeight="1">
      <c r="A723" s="35"/>
      <c r="B723" s="25">
        <v>15</v>
      </c>
      <c r="C723" s="26" t="str">
        <f>IF('Fee Receipt (Class-wise)'!C1292="", "", 'Fee Receipt (Class-wise)'!C1292)</f>
        <v>GAWUGA LAWRENCE</v>
      </c>
      <c r="D723" s="25">
        <f>'Fee Receipt (Class-wise)'!K1292</f>
        <v>580</v>
      </c>
      <c r="E723" s="23"/>
      <c r="F723" s="25">
        <v>45</v>
      </c>
      <c r="G723" s="26" t="str">
        <f>IF('Fee Receipt (Class-wise)'!C1322="", "", 'Fee Receipt (Class-wise)'!C1322)</f>
        <v/>
      </c>
      <c r="H723" s="25">
        <f>'Fee Receipt (Class-wise)'!K1322</f>
        <v>980</v>
      </c>
      <c r="I723" s="23"/>
    </row>
    <row r="724" spans="1:9" ht="14.45" customHeight="1">
      <c r="A724" s="35"/>
      <c r="B724" s="25">
        <v>16</v>
      </c>
      <c r="C724" s="26" t="str">
        <f>IF('Fee Receipt (Class-wise)'!C1293="", "", 'Fee Receipt (Class-wise)'!C1293)</f>
        <v>KITSIPUI ROBERTA</v>
      </c>
      <c r="D724" s="25">
        <f>'Fee Receipt (Class-wise)'!K1293</f>
        <v>680</v>
      </c>
      <c r="E724" s="23"/>
      <c r="F724" s="25">
        <v>46</v>
      </c>
      <c r="G724" s="26" t="str">
        <f>IF('Fee Receipt (Class-wise)'!C1323="", "", 'Fee Receipt (Class-wise)'!C1323)</f>
        <v/>
      </c>
      <c r="H724" s="25">
        <f>'Fee Receipt (Class-wise)'!K1323</f>
        <v>980</v>
      </c>
      <c r="I724" s="23"/>
    </row>
    <row r="725" spans="1:9" ht="14.45" customHeight="1">
      <c r="A725" s="35"/>
      <c r="B725" s="25">
        <v>17</v>
      </c>
      <c r="C725" s="26" t="str">
        <f>IF('Fee Receipt (Class-wise)'!C1294="", "", 'Fee Receipt (Class-wise)'!C1294)</f>
        <v>MARTEY AGYEMANG CHERUBIM</v>
      </c>
      <c r="D725" s="25">
        <f>'Fee Receipt (Class-wise)'!K1294</f>
        <v>820</v>
      </c>
      <c r="E725" s="23"/>
      <c r="F725" s="25">
        <v>47</v>
      </c>
      <c r="G725" s="26" t="str">
        <f>IF('Fee Receipt (Class-wise)'!C1324="", "", 'Fee Receipt (Class-wise)'!C1324)</f>
        <v/>
      </c>
      <c r="H725" s="25">
        <f>'Fee Receipt (Class-wise)'!K1324</f>
        <v>980</v>
      </c>
      <c r="I725" s="23"/>
    </row>
    <row r="726" spans="1:9" ht="14.45" customHeight="1">
      <c r="A726" s="35"/>
      <c r="B726" s="25">
        <v>18</v>
      </c>
      <c r="C726" s="26" t="str">
        <f>IF('Fee Receipt (Class-wise)'!C1295="", "", 'Fee Receipt (Class-wise)'!C1295)</f>
        <v>MENSAH FREDA</v>
      </c>
      <c r="D726" s="25">
        <f>'Fee Receipt (Class-wise)'!K1295</f>
        <v>480</v>
      </c>
      <c r="E726" s="23"/>
      <c r="F726" s="25">
        <v>48</v>
      </c>
      <c r="G726" s="26" t="str">
        <f>IF('Fee Receipt (Class-wise)'!C1325="", "", 'Fee Receipt (Class-wise)'!C1325)</f>
        <v/>
      </c>
      <c r="H726" s="25">
        <f>'Fee Receipt (Class-wise)'!K1325</f>
        <v>980</v>
      </c>
      <c r="I726" s="23"/>
    </row>
    <row r="727" spans="1:9" ht="14.45" customHeight="1">
      <c r="A727" s="35"/>
      <c r="B727" s="25">
        <v>19</v>
      </c>
      <c r="C727" s="26" t="str">
        <f>IF('Fee Receipt (Class-wise)'!C1296="", "", 'Fee Receipt (Class-wise)'!C1296)</f>
        <v>NADOR EMMANUELLA</v>
      </c>
      <c r="D727" s="25">
        <f>'Fee Receipt (Class-wise)'!K1296</f>
        <v>280</v>
      </c>
      <c r="E727" s="23"/>
      <c r="F727" s="25">
        <v>49</v>
      </c>
      <c r="G727" s="26" t="str">
        <f>IF('Fee Receipt (Class-wise)'!C1326="", "", 'Fee Receipt (Class-wise)'!C1326)</f>
        <v/>
      </c>
      <c r="H727" s="25">
        <f>'Fee Receipt (Class-wise)'!K1326</f>
        <v>980</v>
      </c>
      <c r="I727" s="23"/>
    </row>
    <row r="728" spans="1:9" ht="14.45" customHeight="1">
      <c r="A728" s="35"/>
      <c r="B728" s="25">
        <v>20</v>
      </c>
      <c r="C728" s="26" t="str">
        <f>IF('Fee Receipt (Class-wise)'!C1297="", "", 'Fee Receipt (Class-wise)'!C1297)</f>
        <v>NORTEY CHRISTABEL</v>
      </c>
      <c r="D728" s="25">
        <f>'Fee Receipt (Class-wise)'!K1297</f>
        <v>680</v>
      </c>
      <c r="E728" s="23"/>
      <c r="F728" s="25">
        <v>50</v>
      </c>
      <c r="G728" s="26" t="str">
        <f>IF('Fee Receipt (Class-wise)'!C1327="", "", 'Fee Receipt (Class-wise)'!C1327)</f>
        <v/>
      </c>
      <c r="H728" s="25">
        <f>'Fee Receipt (Class-wise)'!K1327</f>
        <v>980</v>
      </c>
      <c r="I728" s="23"/>
    </row>
    <row r="729" spans="1:9" ht="14.45" customHeight="1">
      <c r="A729" s="35"/>
      <c r="B729" s="25">
        <v>21</v>
      </c>
      <c r="C729" s="26" t="str">
        <f>IF('Fee Receipt (Class-wise)'!C1298="", "", 'Fee Receipt (Class-wise)'!C1298)</f>
        <v>NYARKO JONAS</v>
      </c>
      <c r="D729" s="25">
        <f>'Fee Receipt (Class-wise)'!K1298</f>
        <v>980</v>
      </c>
      <c r="E729" s="23"/>
      <c r="F729" s="25">
        <v>51</v>
      </c>
      <c r="G729" s="26" t="str">
        <f>IF('Fee Receipt (Class-wise)'!C1328="", "", 'Fee Receipt (Class-wise)'!C1328)</f>
        <v/>
      </c>
      <c r="H729" s="25">
        <f>'Fee Receipt (Class-wise)'!K1328</f>
        <v>980</v>
      </c>
      <c r="I729" s="23"/>
    </row>
    <row r="730" spans="1:9" ht="14.45" customHeight="1">
      <c r="A730" s="35"/>
      <c r="B730" s="25">
        <v>22</v>
      </c>
      <c r="C730" s="26" t="str">
        <f>IF('Fee Receipt (Class-wise)'!C1299="", "", 'Fee Receipt (Class-wise)'!C1299)</f>
        <v>OKRAH PEREZ</v>
      </c>
      <c r="D730" s="25">
        <f>'Fee Receipt (Class-wise)'!K1299</f>
        <v>380</v>
      </c>
      <c r="E730" s="23"/>
      <c r="F730" s="25">
        <v>52</v>
      </c>
      <c r="G730" s="26" t="str">
        <f>IF('Fee Receipt (Class-wise)'!C1329="", "", 'Fee Receipt (Class-wise)'!C1329)</f>
        <v/>
      </c>
      <c r="H730" s="25">
        <f>'Fee Receipt (Class-wise)'!K1329</f>
        <v>980</v>
      </c>
      <c r="I730" s="23"/>
    </row>
    <row r="731" spans="1:9" ht="14.45" customHeight="1">
      <c r="A731" s="35"/>
      <c r="B731" s="25">
        <v>23</v>
      </c>
      <c r="C731" s="26" t="str">
        <f>IF('Fee Receipt (Class-wise)'!C1300="", "", 'Fee Receipt (Class-wise)'!C1300)</f>
        <v>OPOKU GRACE</v>
      </c>
      <c r="D731" s="25">
        <f>'Fee Receipt (Class-wise)'!K1300</f>
        <v>430</v>
      </c>
      <c r="E731" s="23"/>
      <c r="F731" s="25">
        <v>53</v>
      </c>
      <c r="G731" s="26" t="str">
        <f>IF('Fee Receipt (Class-wise)'!C1330="", "", 'Fee Receipt (Class-wise)'!C1330)</f>
        <v/>
      </c>
      <c r="H731" s="25">
        <f>'Fee Receipt (Class-wise)'!K1330</f>
        <v>980</v>
      </c>
      <c r="I731" s="23"/>
    </row>
    <row r="732" spans="1:9" ht="14.45" customHeight="1">
      <c r="A732" s="35"/>
      <c r="B732" s="25">
        <v>24</v>
      </c>
      <c r="C732" s="26" t="str">
        <f>IF('Fee Receipt (Class-wise)'!C1301="", "", 'Fee Receipt (Class-wise)'!C1301)</f>
        <v>OPPONG GIFTED</v>
      </c>
      <c r="D732" s="25">
        <f>'Fee Receipt (Class-wise)'!K1301</f>
        <v>580</v>
      </c>
      <c r="E732" s="23"/>
      <c r="F732" s="25">
        <v>54</v>
      </c>
      <c r="G732" s="26" t="str">
        <f>IF('Fee Receipt (Class-wise)'!C1331="", "", 'Fee Receipt (Class-wise)'!C1331)</f>
        <v/>
      </c>
      <c r="H732" s="25">
        <f>'Fee Receipt (Class-wise)'!K1331</f>
        <v>980</v>
      </c>
      <c r="I732" s="23"/>
    </row>
    <row r="733" spans="1:9" ht="14.45" customHeight="1">
      <c r="A733" s="35"/>
      <c r="B733" s="25">
        <v>25</v>
      </c>
      <c r="C733" s="26" t="str">
        <f>IF('Fee Receipt (Class-wise)'!C1302="", "", 'Fee Receipt (Class-wise)'!C1302)</f>
        <v>OWUSU MINTAH EBENEZER</v>
      </c>
      <c r="D733" s="25">
        <f>'Fee Receipt (Class-wise)'!K1302</f>
        <v>180</v>
      </c>
      <c r="E733" s="23"/>
      <c r="F733" s="25">
        <v>55</v>
      </c>
      <c r="G733" s="26" t="str">
        <f>IF('Fee Receipt (Class-wise)'!C1332="", "", 'Fee Receipt (Class-wise)'!C1332)</f>
        <v/>
      </c>
      <c r="H733" s="25">
        <f>'Fee Receipt (Class-wise)'!K1332</f>
        <v>980</v>
      </c>
      <c r="I733" s="23"/>
    </row>
    <row r="734" spans="1:9" ht="14.45" customHeight="1">
      <c r="A734" s="35"/>
      <c r="B734" s="25">
        <v>26</v>
      </c>
      <c r="C734" s="26" t="str">
        <f>IF('Fee Receipt (Class-wise)'!C1303="", "", 'Fee Receipt (Class-wise)'!C1303)</f>
        <v>OWUSU-NSAFOAH DUTCHESS</v>
      </c>
      <c r="D734" s="25">
        <f>'Fee Receipt (Class-wise)'!K1303</f>
        <v>480</v>
      </c>
      <c r="E734" s="23"/>
      <c r="F734" s="25">
        <v>56</v>
      </c>
      <c r="G734" s="26" t="str">
        <f>IF('Fee Receipt (Class-wise)'!C1333="", "", 'Fee Receipt (Class-wise)'!C1333)</f>
        <v/>
      </c>
      <c r="H734" s="25">
        <f>'Fee Receipt (Class-wise)'!K1333</f>
        <v>980</v>
      </c>
      <c r="I734" s="23"/>
    </row>
    <row r="735" spans="1:9" ht="14.45" customHeight="1">
      <c r="A735" s="35"/>
      <c r="B735" s="25">
        <v>27</v>
      </c>
      <c r="C735" s="26" t="str">
        <f>IF('Fee Receipt (Class-wise)'!C1304="", "", 'Fee Receipt (Class-wise)'!C1304)</f>
        <v>SISU MUJAHID</v>
      </c>
      <c r="D735" s="25">
        <f>'Fee Receipt (Class-wise)'!K1304</f>
        <v>0</v>
      </c>
      <c r="E735" s="23"/>
      <c r="F735" s="25">
        <v>57</v>
      </c>
      <c r="G735" s="26" t="str">
        <f>IF('Fee Receipt (Class-wise)'!C1334="", "", 'Fee Receipt (Class-wise)'!C1334)</f>
        <v/>
      </c>
      <c r="H735" s="25">
        <f>'Fee Receipt (Class-wise)'!K1334</f>
        <v>980</v>
      </c>
      <c r="I735" s="23"/>
    </row>
    <row r="736" spans="1:9" ht="14.45" customHeight="1">
      <c r="A736" s="35"/>
      <c r="B736" s="25">
        <v>28</v>
      </c>
      <c r="C736" s="26" t="str">
        <f>IF('Fee Receipt (Class-wise)'!C1305="", "", 'Fee Receipt (Class-wise)'!C1305)</f>
        <v>TAYLOR JENEF</v>
      </c>
      <c r="D736" s="25">
        <f>'Fee Receipt (Class-wise)'!K1305</f>
        <v>480</v>
      </c>
      <c r="E736" s="23"/>
      <c r="F736" s="25">
        <v>58</v>
      </c>
      <c r="G736" s="26" t="str">
        <f>IF('Fee Receipt (Class-wise)'!C1335="", "", 'Fee Receipt (Class-wise)'!C1335)</f>
        <v/>
      </c>
      <c r="H736" s="25">
        <f>'Fee Receipt (Class-wise)'!K1335</f>
        <v>980</v>
      </c>
      <c r="I736" s="23"/>
    </row>
    <row r="737" spans="1:9" ht="14.45" customHeight="1">
      <c r="A737" s="35"/>
      <c r="B737" s="25">
        <v>29</v>
      </c>
      <c r="C737" s="26" t="str">
        <f>IF('Fee Receipt (Class-wise)'!C1306="", "", 'Fee Receipt (Class-wise)'!C1306)</f>
        <v>TSAGLI GIFTY</v>
      </c>
      <c r="D737" s="25">
        <f>'Fee Receipt (Class-wise)'!K1306</f>
        <v>480</v>
      </c>
      <c r="E737" s="23"/>
      <c r="F737" s="25">
        <v>59</v>
      </c>
      <c r="G737" s="26" t="str">
        <f>IF('Fee Receipt (Class-wise)'!C1336="", "", 'Fee Receipt (Class-wise)'!C1336)</f>
        <v/>
      </c>
      <c r="H737" s="25">
        <f>'Fee Receipt (Class-wise)'!K1336</f>
        <v>980</v>
      </c>
      <c r="I737" s="23"/>
    </row>
    <row r="738" spans="1:9" ht="14.45" customHeight="1">
      <c r="A738" s="35"/>
      <c r="B738" s="25">
        <v>30</v>
      </c>
      <c r="C738" s="26" t="str">
        <f>IF('Fee Receipt (Class-wise)'!C1307="", "", 'Fee Receipt (Class-wise)'!C1307)</f>
        <v/>
      </c>
      <c r="D738" s="25">
        <f>'Fee Receipt (Class-wise)'!K1307</f>
        <v>980</v>
      </c>
      <c r="E738" s="23"/>
      <c r="F738" s="25">
        <v>60</v>
      </c>
      <c r="G738" s="26" t="str">
        <f>IF('Fee Receipt (Class-wise)'!C1337="", "", 'Fee Receipt (Class-wise)'!C1337)</f>
        <v/>
      </c>
      <c r="H738" s="25">
        <f>'Fee Receipt (Class-wise)'!K1337</f>
        <v>980</v>
      </c>
      <c r="I738" s="23"/>
    </row>
    <row r="739" spans="1:9" ht="14.45" customHeight="1">
      <c r="A739" s="35"/>
      <c r="B739" s="25"/>
      <c r="C739" s="23"/>
      <c r="D739" s="23"/>
      <c r="E739" s="23"/>
      <c r="F739" s="33" t="s">
        <v>31</v>
      </c>
      <c r="G739" s="33"/>
      <c r="H739" s="24">
        <f>SUM(D709:D738)+SUM(H709:H738)</f>
        <v>42550</v>
      </c>
      <c r="I739" s="23"/>
    </row>
    <row r="740" spans="1:9" ht="14.45" customHeight="1">
      <c r="B740" s="23"/>
      <c r="C740" s="23"/>
      <c r="D740" s="23"/>
      <c r="E740" s="23"/>
      <c r="F740" s="23"/>
      <c r="G740" s="23"/>
      <c r="H740" s="23"/>
      <c r="I740" s="23"/>
    </row>
    <row r="741" spans="1:9" ht="14.45" customHeight="1">
      <c r="B741" s="23"/>
      <c r="C741" s="23"/>
      <c r="D741" s="23"/>
      <c r="E741" s="23"/>
      <c r="F741" s="23"/>
      <c r="G741" s="23"/>
      <c r="H741" s="23"/>
      <c r="I741" s="23"/>
    </row>
    <row r="742" spans="1:9" ht="14.45" customHeight="1">
      <c r="A742" s="49">
        <v>21</v>
      </c>
      <c r="B742" s="35" t="s">
        <v>33</v>
      </c>
      <c r="C742" s="35"/>
      <c r="D742" s="35"/>
      <c r="E742" s="35"/>
      <c r="F742" s="35"/>
      <c r="G742" s="35"/>
      <c r="H742" s="24" t="s">
        <v>36</v>
      </c>
      <c r="I742" s="23"/>
    </row>
    <row r="743" spans="1:9" ht="14.45" customHeight="1">
      <c r="A743" s="49"/>
      <c r="B743" s="23" t="s">
        <v>35</v>
      </c>
      <c r="C743" s="50" t="str">
        <f>IF('Fee Receipt (Class-wise)'!C1342="", "", 'Fee Receipt (Class-wise)'!C1342)</f>
        <v>BASIC 8B</v>
      </c>
      <c r="D743" s="50"/>
      <c r="E743" s="23"/>
      <c r="F743" s="23"/>
      <c r="G743" s="23"/>
      <c r="H743" s="49">
        <f>IF(C743="", "", H776)</f>
        <v>41650</v>
      </c>
      <c r="I743" s="23"/>
    </row>
    <row r="744" spans="1:9" ht="14.45" customHeight="1">
      <c r="A744" s="49"/>
      <c r="B744" s="23" t="s">
        <v>34</v>
      </c>
      <c r="C744" s="50" t="str">
        <f>IF(C743="", "", 'Fee Receipt (Class-wise)'!$H$2)</f>
        <v>2025-26</v>
      </c>
      <c r="D744" s="50"/>
      <c r="E744" s="23"/>
      <c r="F744" s="23"/>
      <c r="G744" s="23"/>
      <c r="H744" s="49"/>
      <c r="I744" s="23"/>
    </row>
    <row r="745" spans="1:9" ht="14.45" customHeight="1">
      <c r="A745" s="35"/>
      <c r="B745" s="25" t="s">
        <v>1</v>
      </c>
      <c r="C745" s="25" t="s">
        <v>2</v>
      </c>
      <c r="D745" s="25" t="s">
        <v>9</v>
      </c>
      <c r="E745" s="23"/>
      <c r="F745" s="25" t="s">
        <v>1</v>
      </c>
      <c r="G745" s="25" t="s">
        <v>2</v>
      </c>
      <c r="H745" s="25" t="s">
        <v>9</v>
      </c>
      <c r="I745" s="23"/>
    </row>
    <row r="746" spans="1:9" ht="14.45" customHeight="1">
      <c r="A746" s="35"/>
      <c r="B746" s="25">
        <v>1</v>
      </c>
      <c r="C746" s="26" t="str">
        <f>IF('Fee Receipt (Class-wise)'!C1345="", "", 'Fee Receipt (Class-wise)'!C1345)</f>
        <v>ABDUL RAZAK WUNAM NAJAT</v>
      </c>
      <c r="D746" s="25">
        <f>'Fee Receipt (Class-wise)'!K1345</f>
        <v>280</v>
      </c>
      <c r="E746" s="23"/>
      <c r="F746" s="25">
        <v>31</v>
      </c>
      <c r="G746" s="26" t="str">
        <f>IF('Fee Receipt (Class-wise)'!C1375="", "", 'Fee Receipt (Class-wise)'!C1375)</f>
        <v/>
      </c>
      <c r="H746" s="25">
        <f>'Fee Receipt (Class-wise)'!K1375</f>
        <v>980</v>
      </c>
      <c r="I746" s="23"/>
    </row>
    <row r="747" spans="1:9" ht="14.45" customHeight="1">
      <c r="A747" s="35"/>
      <c r="B747" s="25">
        <v>2</v>
      </c>
      <c r="C747" s="26" t="str">
        <f>IF('Fee Receipt (Class-wise)'!C1346="", "", 'Fee Receipt (Class-wise)'!C1346)</f>
        <v>ABUSAH EMMANUELLA</v>
      </c>
      <c r="D747" s="25">
        <f>'Fee Receipt (Class-wise)'!K1346</f>
        <v>480</v>
      </c>
      <c r="E747" s="23"/>
      <c r="F747" s="25">
        <v>32</v>
      </c>
      <c r="G747" s="26" t="str">
        <f>IF('Fee Receipt (Class-wise)'!C1376="", "", 'Fee Receipt (Class-wise)'!C1376)</f>
        <v/>
      </c>
      <c r="H747" s="25">
        <f>'Fee Receipt (Class-wise)'!K1376</f>
        <v>980</v>
      </c>
      <c r="I747" s="23"/>
    </row>
    <row r="748" spans="1:9" ht="14.45" customHeight="1">
      <c r="A748" s="35"/>
      <c r="B748" s="25">
        <v>3</v>
      </c>
      <c r="C748" s="26" t="str">
        <f>IF('Fee Receipt (Class-wise)'!C1347="", "", 'Fee Receipt (Class-wise)'!C1347)</f>
        <v>ADDO MICHAEL</v>
      </c>
      <c r="D748" s="25">
        <f>'Fee Receipt (Class-wise)'!K1347</f>
        <v>680</v>
      </c>
      <c r="E748" s="23"/>
      <c r="F748" s="25">
        <v>33</v>
      </c>
      <c r="G748" s="26" t="str">
        <f>IF('Fee Receipt (Class-wise)'!C1377="", "", 'Fee Receipt (Class-wise)'!C1377)</f>
        <v/>
      </c>
      <c r="H748" s="25">
        <f>'Fee Receipt (Class-wise)'!K1377</f>
        <v>980</v>
      </c>
      <c r="I748" s="23"/>
    </row>
    <row r="749" spans="1:9" ht="14.45" customHeight="1">
      <c r="A749" s="35"/>
      <c r="B749" s="25">
        <v>4</v>
      </c>
      <c r="C749" s="26" t="str">
        <f>IF('Fee Receipt (Class-wise)'!C1348="", "", 'Fee Receipt (Class-wise)'!C1348)</f>
        <v>AFRIYIE CHRISTABEL</v>
      </c>
      <c r="D749" s="25">
        <f>'Fee Receipt (Class-wise)'!K1348</f>
        <v>490</v>
      </c>
      <c r="E749" s="23"/>
      <c r="F749" s="25">
        <v>34</v>
      </c>
      <c r="G749" s="26" t="str">
        <f>IF('Fee Receipt (Class-wise)'!C1378="", "", 'Fee Receipt (Class-wise)'!C1378)</f>
        <v/>
      </c>
      <c r="H749" s="25">
        <f>'Fee Receipt (Class-wise)'!K1378</f>
        <v>980</v>
      </c>
      <c r="I749" s="23"/>
    </row>
    <row r="750" spans="1:9" ht="14.45" customHeight="1">
      <c r="A750" s="35"/>
      <c r="B750" s="25">
        <v>5</v>
      </c>
      <c r="C750" s="26" t="str">
        <f>IF('Fee Receipt (Class-wise)'!C1349="", "", 'Fee Receipt (Class-wise)'!C1349)</f>
        <v>AGBO KELVIN</v>
      </c>
      <c r="D750" s="25">
        <f>'Fee Receipt (Class-wise)'!K1349</f>
        <v>480</v>
      </c>
      <c r="E750" s="23"/>
      <c r="F750" s="25">
        <v>35</v>
      </c>
      <c r="G750" s="26" t="str">
        <f>IF('Fee Receipt (Class-wise)'!C1379="", "", 'Fee Receipt (Class-wise)'!C1379)</f>
        <v/>
      </c>
      <c r="H750" s="25">
        <f>'Fee Receipt (Class-wise)'!K1379</f>
        <v>980</v>
      </c>
      <c r="I750" s="23"/>
    </row>
    <row r="751" spans="1:9" ht="14.45" customHeight="1">
      <c r="A751" s="35"/>
      <c r="B751" s="25">
        <v>6</v>
      </c>
      <c r="C751" s="26" t="str">
        <f>IF('Fee Receipt (Class-wise)'!C1350="", "", 'Fee Receipt (Class-wise)'!C1350)</f>
        <v>AHIABA SEFA MICHAEL</v>
      </c>
      <c r="D751" s="25">
        <f>'Fee Receipt (Class-wise)'!K1350</f>
        <v>280</v>
      </c>
      <c r="E751" s="23"/>
      <c r="F751" s="25">
        <v>36</v>
      </c>
      <c r="G751" s="26" t="str">
        <f>IF('Fee Receipt (Class-wise)'!C1380="", "", 'Fee Receipt (Class-wise)'!C1380)</f>
        <v/>
      </c>
      <c r="H751" s="25">
        <f>'Fee Receipt (Class-wise)'!K1380</f>
        <v>980</v>
      </c>
      <c r="I751" s="23"/>
    </row>
    <row r="752" spans="1:9" ht="14.45" customHeight="1">
      <c r="A752" s="35"/>
      <c r="B752" s="25">
        <v>7</v>
      </c>
      <c r="C752" s="26" t="str">
        <f>IF('Fee Receipt (Class-wise)'!C1351="", "", 'Fee Receipt (Class-wise)'!C1351)</f>
        <v>AMOAH WINIFRED</v>
      </c>
      <c r="D752" s="25">
        <f>'Fee Receipt (Class-wise)'!K1351</f>
        <v>980</v>
      </c>
      <c r="E752" s="23"/>
      <c r="F752" s="25">
        <v>37</v>
      </c>
      <c r="G752" s="26" t="str">
        <f>IF('Fee Receipt (Class-wise)'!C1381="", "", 'Fee Receipt (Class-wise)'!C1381)</f>
        <v/>
      </c>
      <c r="H752" s="25">
        <f>'Fee Receipt (Class-wise)'!K1381</f>
        <v>980</v>
      </c>
      <c r="I752" s="23"/>
    </row>
    <row r="753" spans="1:9" ht="14.45" customHeight="1">
      <c r="A753" s="35"/>
      <c r="B753" s="25">
        <v>8</v>
      </c>
      <c r="C753" s="26" t="str">
        <f>IF('Fee Receipt (Class-wise)'!C1352="", "", 'Fee Receipt (Class-wise)'!C1352)</f>
        <v>AMOAKO EMMANUEL</v>
      </c>
      <c r="D753" s="25">
        <f>'Fee Receipt (Class-wise)'!K1352</f>
        <v>430</v>
      </c>
      <c r="E753" s="23"/>
      <c r="F753" s="25">
        <v>38</v>
      </c>
      <c r="G753" s="26" t="str">
        <f>IF('Fee Receipt (Class-wise)'!C1382="", "", 'Fee Receipt (Class-wise)'!C1382)</f>
        <v/>
      </c>
      <c r="H753" s="25">
        <f>'Fee Receipt (Class-wise)'!K1382</f>
        <v>980</v>
      </c>
      <c r="I753" s="23"/>
    </row>
    <row r="754" spans="1:9" ht="14.45" customHeight="1">
      <c r="A754" s="35"/>
      <c r="B754" s="25">
        <v>9</v>
      </c>
      <c r="C754" s="26" t="str">
        <f>IF('Fee Receipt (Class-wise)'!C1353="", "", 'Fee Receipt (Class-wise)'!C1353)</f>
        <v>ASEMDI CALEB</v>
      </c>
      <c r="D754" s="25">
        <f>'Fee Receipt (Class-wise)'!K1353</f>
        <v>480</v>
      </c>
      <c r="E754" s="23"/>
      <c r="F754" s="25">
        <v>39</v>
      </c>
      <c r="G754" s="26" t="str">
        <f>IF('Fee Receipt (Class-wise)'!C1383="", "", 'Fee Receipt (Class-wise)'!C1383)</f>
        <v/>
      </c>
      <c r="H754" s="25">
        <f>'Fee Receipt (Class-wise)'!K1383</f>
        <v>980</v>
      </c>
      <c r="I754" s="23"/>
    </row>
    <row r="755" spans="1:9" ht="14.45" customHeight="1">
      <c r="A755" s="35"/>
      <c r="B755" s="25">
        <v>10</v>
      </c>
      <c r="C755" s="26" t="str">
        <f>IF('Fee Receipt (Class-wise)'!C1354="", "", 'Fee Receipt (Class-wise)'!C1354)</f>
        <v>AYIVI SELASI</v>
      </c>
      <c r="D755" s="25">
        <f>'Fee Receipt (Class-wise)'!K1354</f>
        <v>580</v>
      </c>
      <c r="E755" s="23"/>
      <c r="F755" s="25">
        <v>40</v>
      </c>
      <c r="G755" s="26" t="str">
        <f>IF('Fee Receipt (Class-wise)'!C1384="", "", 'Fee Receipt (Class-wise)'!C1384)</f>
        <v/>
      </c>
      <c r="H755" s="25">
        <f>'Fee Receipt (Class-wise)'!K1384</f>
        <v>980</v>
      </c>
      <c r="I755" s="23"/>
    </row>
    <row r="756" spans="1:9" ht="14.45" customHeight="1">
      <c r="A756" s="35"/>
      <c r="B756" s="25">
        <v>11</v>
      </c>
      <c r="C756" s="26" t="str">
        <f>IF('Fee Receipt (Class-wise)'!C1355="", "", 'Fee Receipt (Class-wise)'!C1355)</f>
        <v>BADASU FAUSTINA</v>
      </c>
      <c r="D756" s="25">
        <f>'Fee Receipt (Class-wise)'!K1355</f>
        <v>480</v>
      </c>
      <c r="E756" s="23"/>
      <c r="F756" s="25">
        <v>41</v>
      </c>
      <c r="G756" s="26" t="str">
        <f>IF('Fee Receipt (Class-wise)'!C1385="", "", 'Fee Receipt (Class-wise)'!C1385)</f>
        <v/>
      </c>
      <c r="H756" s="25">
        <f>'Fee Receipt (Class-wise)'!K1385</f>
        <v>980</v>
      </c>
      <c r="I756" s="23"/>
    </row>
    <row r="757" spans="1:9" ht="14.45" customHeight="1">
      <c r="A757" s="35"/>
      <c r="B757" s="25">
        <v>12</v>
      </c>
      <c r="C757" s="26" t="str">
        <f>IF('Fee Receipt (Class-wise)'!C1356="", "", 'Fee Receipt (Class-wise)'!C1356)</f>
        <v>BINNEY AARON</v>
      </c>
      <c r="D757" s="25">
        <f>'Fee Receipt (Class-wise)'!K1356</f>
        <v>0</v>
      </c>
      <c r="E757" s="23"/>
      <c r="F757" s="25">
        <v>42</v>
      </c>
      <c r="G757" s="26" t="str">
        <f>IF('Fee Receipt (Class-wise)'!C1386="", "", 'Fee Receipt (Class-wise)'!C1386)</f>
        <v/>
      </c>
      <c r="H757" s="25">
        <f>'Fee Receipt (Class-wise)'!K1386</f>
        <v>980</v>
      </c>
      <c r="I757" s="23"/>
    </row>
    <row r="758" spans="1:9" ht="14.45" customHeight="1">
      <c r="A758" s="35"/>
      <c r="B758" s="25">
        <v>13</v>
      </c>
      <c r="C758" s="26" t="str">
        <f>IF('Fee Receipt (Class-wise)'!C1357="", "", 'Fee Receipt (Class-wise)'!C1357)</f>
        <v>BOTWE EBENEZER</v>
      </c>
      <c r="D758" s="25">
        <f>'Fee Receipt (Class-wise)'!K1357</f>
        <v>380</v>
      </c>
      <c r="E758" s="23"/>
      <c r="F758" s="25">
        <v>43</v>
      </c>
      <c r="G758" s="26" t="str">
        <f>IF('Fee Receipt (Class-wise)'!C1387="", "", 'Fee Receipt (Class-wise)'!C1387)</f>
        <v/>
      </c>
      <c r="H758" s="25">
        <f>'Fee Receipt (Class-wise)'!K1387</f>
        <v>980</v>
      </c>
      <c r="I758" s="23"/>
    </row>
    <row r="759" spans="1:9" ht="14.45" customHeight="1">
      <c r="A759" s="35"/>
      <c r="B759" s="25">
        <v>14</v>
      </c>
      <c r="C759" s="26" t="str">
        <f>IF('Fee Receipt (Class-wise)'!C1358="", "", 'Fee Receipt (Class-wise)'!C1358)</f>
        <v>BUA AYISHA</v>
      </c>
      <c r="D759" s="25">
        <f>'Fee Receipt (Class-wise)'!K1358</f>
        <v>380</v>
      </c>
      <c r="E759" s="23"/>
      <c r="F759" s="25">
        <v>44</v>
      </c>
      <c r="G759" s="26" t="str">
        <f>IF('Fee Receipt (Class-wise)'!C1388="", "", 'Fee Receipt (Class-wise)'!C1388)</f>
        <v/>
      </c>
      <c r="H759" s="25">
        <f>'Fee Receipt (Class-wise)'!K1388</f>
        <v>980</v>
      </c>
      <c r="I759" s="23"/>
    </row>
    <row r="760" spans="1:9" ht="14.45" customHeight="1">
      <c r="A760" s="35"/>
      <c r="B760" s="25">
        <v>15</v>
      </c>
      <c r="C760" s="26" t="str">
        <f>IF('Fee Receipt (Class-wise)'!C1359="", "", 'Fee Receipt (Class-wise)'!C1359)</f>
        <v>COLE JETHRO</v>
      </c>
      <c r="D760" s="25">
        <f>'Fee Receipt (Class-wise)'!K1359</f>
        <v>0</v>
      </c>
      <c r="E760" s="23"/>
      <c r="F760" s="25">
        <v>45</v>
      </c>
      <c r="G760" s="26" t="str">
        <f>IF('Fee Receipt (Class-wise)'!C1389="", "", 'Fee Receipt (Class-wise)'!C1389)</f>
        <v/>
      </c>
      <c r="H760" s="25">
        <f>'Fee Receipt (Class-wise)'!K1389</f>
        <v>980</v>
      </c>
      <c r="I760" s="23"/>
    </row>
    <row r="761" spans="1:9" ht="14.45" customHeight="1">
      <c r="A761" s="35"/>
      <c r="B761" s="25">
        <v>16</v>
      </c>
      <c r="C761" s="26" t="str">
        <f>IF('Fee Receipt (Class-wise)'!C1360="", "", 'Fee Receipt (Class-wise)'!C1360)</f>
        <v>DARBY JOHNNY</v>
      </c>
      <c r="D761" s="25">
        <f>'Fee Receipt (Class-wise)'!K1360</f>
        <v>680</v>
      </c>
      <c r="E761" s="23"/>
      <c r="F761" s="25">
        <v>46</v>
      </c>
      <c r="G761" s="26" t="str">
        <f>IF('Fee Receipt (Class-wise)'!C1390="", "", 'Fee Receipt (Class-wise)'!C1390)</f>
        <v/>
      </c>
      <c r="H761" s="25">
        <f>'Fee Receipt (Class-wise)'!K1390</f>
        <v>980</v>
      </c>
      <c r="I761" s="23"/>
    </row>
    <row r="762" spans="1:9" ht="14.45" customHeight="1">
      <c r="A762" s="35"/>
      <c r="B762" s="25">
        <v>17</v>
      </c>
      <c r="C762" s="26" t="str">
        <f>IF('Fee Receipt (Class-wise)'!C1361="", "", 'Fee Receipt (Class-wise)'!C1361)</f>
        <v>DETSU DAVID</v>
      </c>
      <c r="D762" s="25">
        <f>'Fee Receipt (Class-wise)'!K1361</f>
        <v>230</v>
      </c>
      <c r="E762" s="23"/>
      <c r="F762" s="25">
        <v>47</v>
      </c>
      <c r="G762" s="26" t="str">
        <f>IF('Fee Receipt (Class-wise)'!C1391="", "", 'Fee Receipt (Class-wise)'!C1391)</f>
        <v/>
      </c>
      <c r="H762" s="25">
        <f>'Fee Receipt (Class-wise)'!K1391</f>
        <v>980</v>
      </c>
      <c r="I762" s="23"/>
    </row>
    <row r="763" spans="1:9" ht="14.45" customHeight="1">
      <c r="A763" s="35"/>
      <c r="B763" s="25">
        <v>18</v>
      </c>
      <c r="C763" s="26" t="str">
        <f>IF('Fee Receipt (Class-wise)'!C1362="", "", 'Fee Receipt (Class-wise)'!C1362)</f>
        <v>DZISAH KELVIN</v>
      </c>
      <c r="D763" s="25">
        <f>'Fee Receipt (Class-wise)'!K1362</f>
        <v>0</v>
      </c>
      <c r="E763" s="23"/>
      <c r="F763" s="25">
        <v>48</v>
      </c>
      <c r="G763" s="26" t="str">
        <f>IF('Fee Receipt (Class-wise)'!C1392="", "", 'Fee Receipt (Class-wise)'!C1392)</f>
        <v/>
      </c>
      <c r="H763" s="25">
        <f>'Fee Receipt (Class-wise)'!K1392</f>
        <v>980</v>
      </c>
      <c r="I763" s="23"/>
    </row>
    <row r="764" spans="1:9" ht="14.45" customHeight="1">
      <c r="A764" s="35"/>
      <c r="B764" s="25">
        <v>19</v>
      </c>
      <c r="C764" s="26" t="str">
        <f>IF('Fee Receipt (Class-wise)'!C1363="", "", 'Fee Receipt (Class-wise)'!C1363)</f>
        <v>ETSE CHRISMAN</v>
      </c>
      <c r="D764" s="25">
        <f>'Fee Receipt (Class-wise)'!K1363</f>
        <v>580</v>
      </c>
      <c r="E764" s="23"/>
      <c r="F764" s="25">
        <v>49</v>
      </c>
      <c r="G764" s="26" t="str">
        <f>IF('Fee Receipt (Class-wise)'!C1393="", "", 'Fee Receipt (Class-wise)'!C1393)</f>
        <v/>
      </c>
      <c r="H764" s="25">
        <f>'Fee Receipt (Class-wise)'!K1393</f>
        <v>980</v>
      </c>
      <c r="I764" s="23"/>
    </row>
    <row r="765" spans="1:9" ht="14.45" customHeight="1">
      <c r="A765" s="35"/>
      <c r="B765" s="25">
        <v>20</v>
      </c>
      <c r="C765" s="26" t="str">
        <f>IF('Fee Receipt (Class-wise)'!C1364="", "", 'Fee Receipt (Class-wise)'!C1364)</f>
        <v>GEMEGAH SELORM</v>
      </c>
      <c r="D765" s="25">
        <f>'Fee Receipt (Class-wise)'!K1364</f>
        <v>0</v>
      </c>
      <c r="E765" s="23"/>
      <c r="F765" s="25">
        <v>50</v>
      </c>
      <c r="G765" s="26" t="str">
        <f>IF('Fee Receipt (Class-wise)'!C1394="", "", 'Fee Receipt (Class-wise)'!C1394)</f>
        <v/>
      </c>
      <c r="H765" s="25">
        <f>'Fee Receipt (Class-wise)'!K1394</f>
        <v>980</v>
      </c>
      <c r="I765" s="23"/>
    </row>
    <row r="766" spans="1:9" ht="14.45" customHeight="1">
      <c r="A766" s="35"/>
      <c r="B766" s="25">
        <v>21</v>
      </c>
      <c r="C766" s="26" t="str">
        <f>IF('Fee Receipt (Class-wise)'!C1365="", "", 'Fee Receipt (Class-wise)'!C1365)</f>
        <v>KOOMSON CHRISTABEL</v>
      </c>
      <c r="D766" s="25">
        <f>'Fee Receipt (Class-wise)'!K1365</f>
        <v>480</v>
      </c>
      <c r="E766" s="23"/>
      <c r="F766" s="25">
        <v>51</v>
      </c>
      <c r="G766" s="26" t="str">
        <f>IF('Fee Receipt (Class-wise)'!C1395="", "", 'Fee Receipt (Class-wise)'!C1395)</f>
        <v/>
      </c>
      <c r="H766" s="25">
        <f>'Fee Receipt (Class-wise)'!K1395</f>
        <v>980</v>
      </c>
      <c r="I766" s="23"/>
    </row>
    <row r="767" spans="1:9" ht="14.45" customHeight="1">
      <c r="A767" s="35"/>
      <c r="B767" s="25">
        <v>22</v>
      </c>
      <c r="C767" s="26" t="str">
        <f>IF('Fee Receipt (Class-wise)'!C1366="", "", 'Fee Receipt (Class-wise)'!C1366)</f>
        <v>KORDORWU DELIA</v>
      </c>
      <c r="D767" s="25">
        <f>'Fee Receipt (Class-wise)'!K1366</f>
        <v>980</v>
      </c>
      <c r="E767" s="23"/>
      <c r="F767" s="25">
        <v>52</v>
      </c>
      <c r="G767" s="26" t="str">
        <f>IF('Fee Receipt (Class-wise)'!C1396="", "", 'Fee Receipt (Class-wise)'!C1396)</f>
        <v/>
      </c>
      <c r="H767" s="25">
        <f>'Fee Receipt (Class-wise)'!K1396</f>
        <v>980</v>
      </c>
      <c r="I767" s="23"/>
    </row>
    <row r="768" spans="1:9" ht="14.45" customHeight="1">
      <c r="A768" s="35"/>
      <c r="B768" s="25">
        <v>23</v>
      </c>
      <c r="C768" s="26" t="str">
        <f>IF('Fee Receipt (Class-wise)'!C1367="", "", 'Fee Receipt (Class-wise)'!C1367)</f>
        <v>MUSAH MOHAMMED</v>
      </c>
      <c r="D768" s="25">
        <f>'Fee Receipt (Class-wise)'!K1367</f>
        <v>730</v>
      </c>
      <c r="E768" s="23"/>
      <c r="F768" s="25">
        <v>53</v>
      </c>
      <c r="G768" s="26" t="str">
        <f>IF('Fee Receipt (Class-wise)'!C1397="", "", 'Fee Receipt (Class-wise)'!C1397)</f>
        <v/>
      </c>
      <c r="H768" s="25">
        <f>'Fee Receipt (Class-wise)'!K1397</f>
        <v>980</v>
      </c>
      <c r="I768" s="23"/>
    </row>
    <row r="769" spans="1:9" ht="14.45" customHeight="1">
      <c r="A769" s="35"/>
      <c r="B769" s="25">
        <v>24</v>
      </c>
      <c r="C769" s="26" t="str">
        <f>IF('Fee Receipt (Class-wise)'!C1368="", "", 'Fee Receipt (Class-wise)'!C1368)</f>
        <v>NARH PRISCILLA</v>
      </c>
      <c r="D769" s="25">
        <f>'Fee Receipt (Class-wise)'!K1368</f>
        <v>680</v>
      </c>
      <c r="E769" s="23"/>
      <c r="F769" s="25">
        <v>54</v>
      </c>
      <c r="G769" s="26" t="str">
        <f>IF('Fee Receipt (Class-wise)'!C1398="", "", 'Fee Receipt (Class-wise)'!C1398)</f>
        <v/>
      </c>
      <c r="H769" s="25">
        <f>'Fee Receipt (Class-wise)'!K1398</f>
        <v>980</v>
      </c>
      <c r="I769" s="23"/>
    </row>
    <row r="770" spans="1:9" ht="14.45" customHeight="1">
      <c r="A770" s="35"/>
      <c r="B770" s="25">
        <v>25</v>
      </c>
      <c r="C770" s="26" t="str">
        <f>IF('Fee Receipt (Class-wise)'!C1369="", "", 'Fee Receipt (Class-wise)'!C1369)</f>
        <v>OFORI RITA</v>
      </c>
      <c r="D770" s="25">
        <f>'Fee Receipt (Class-wise)'!K1369</f>
        <v>130</v>
      </c>
      <c r="E770" s="23"/>
      <c r="F770" s="25">
        <v>55</v>
      </c>
      <c r="G770" s="26" t="str">
        <f>IF('Fee Receipt (Class-wise)'!C1399="", "", 'Fee Receipt (Class-wise)'!C1399)</f>
        <v/>
      </c>
      <c r="H770" s="25">
        <f>'Fee Receipt (Class-wise)'!K1399</f>
        <v>980</v>
      </c>
      <c r="I770" s="23"/>
    </row>
    <row r="771" spans="1:9" ht="14.45" customHeight="1">
      <c r="A771" s="35"/>
      <c r="B771" s="25">
        <v>26</v>
      </c>
      <c r="C771" s="26" t="str">
        <f>IF('Fee Receipt (Class-wise)'!C1370="", "", 'Fee Receipt (Class-wise)'!C1370)</f>
        <v>OSEI BONSU VALMA</v>
      </c>
      <c r="D771" s="25">
        <f>'Fee Receipt (Class-wise)'!K1370</f>
        <v>480</v>
      </c>
      <c r="E771" s="23"/>
      <c r="F771" s="25">
        <v>56</v>
      </c>
      <c r="G771" s="26" t="str">
        <f>IF('Fee Receipt (Class-wise)'!C1400="", "", 'Fee Receipt (Class-wise)'!C1400)</f>
        <v/>
      </c>
      <c r="H771" s="25">
        <f>'Fee Receipt (Class-wise)'!K1400</f>
        <v>980</v>
      </c>
      <c r="I771" s="23"/>
    </row>
    <row r="772" spans="1:9" ht="14.45" customHeight="1">
      <c r="A772" s="35"/>
      <c r="B772" s="25">
        <v>27</v>
      </c>
      <c r="C772" s="26" t="str">
        <f>IF('Fee Receipt (Class-wise)'!C1371="", "", 'Fee Receipt (Class-wise)'!C1371)</f>
        <v>QUAYE KISH</v>
      </c>
      <c r="D772" s="25">
        <f>'Fee Receipt (Class-wise)'!K1371</f>
        <v>0</v>
      </c>
      <c r="E772" s="23"/>
      <c r="F772" s="25">
        <v>57</v>
      </c>
      <c r="G772" s="26" t="str">
        <f>IF('Fee Receipt (Class-wise)'!C1401="", "", 'Fee Receipt (Class-wise)'!C1401)</f>
        <v/>
      </c>
      <c r="H772" s="25">
        <f>'Fee Receipt (Class-wise)'!K1401</f>
        <v>980</v>
      </c>
      <c r="I772" s="23"/>
    </row>
    <row r="773" spans="1:9" ht="14.45" customHeight="1">
      <c r="A773" s="35"/>
      <c r="B773" s="25">
        <v>28</v>
      </c>
      <c r="C773" s="26" t="str">
        <f>IF('Fee Receipt (Class-wise)'!C1372="", "", 'Fee Receipt (Class-wise)'!C1372)</f>
        <v>SARPONG NICHOLAS</v>
      </c>
      <c r="D773" s="25">
        <f>'Fee Receipt (Class-wise)'!K1372</f>
        <v>180</v>
      </c>
      <c r="E773" s="23"/>
      <c r="F773" s="25">
        <v>58</v>
      </c>
      <c r="G773" s="26" t="str">
        <f>IF('Fee Receipt (Class-wise)'!C1402="", "", 'Fee Receipt (Class-wise)'!C1402)</f>
        <v/>
      </c>
      <c r="H773" s="25">
        <f>'Fee Receipt (Class-wise)'!K1402</f>
        <v>980</v>
      </c>
      <c r="I773" s="23"/>
    </row>
    <row r="774" spans="1:9" ht="14.45" customHeight="1">
      <c r="A774" s="35"/>
      <c r="B774" s="25">
        <v>29</v>
      </c>
      <c r="C774" s="26" t="str">
        <f>IF('Fee Receipt (Class-wise)'!C1373="", "", 'Fee Receipt (Class-wise)'!C1373)</f>
        <v>VORDZORGBE FLORENCE</v>
      </c>
      <c r="D774" s="25">
        <f>'Fee Receipt (Class-wise)'!K1373</f>
        <v>700</v>
      </c>
      <c r="E774" s="23"/>
      <c r="F774" s="25">
        <v>59</v>
      </c>
      <c r="G774" s="26" t="str">
        <f>IF('Fee Receipt (Class-wise)'!C1403="", "", 'Fee Receipt (Class-wise)'!C1403)</f>
        <v/>
      </c>
      <c r="H774" s="25">
        <f>'Fee Receipt (Class-wise)'!K1403</f>
        <v>980</v>
      </c>
      <c r="I774" s="23"/>
    </row>
    <row r="775" spans="1:9" ht="14.45" customHeight="1">
      <c r="A775" s="35"/>
      <c r="B775" s="25">
        <v>30</v>
      </c>
      <c r="C775" s="26" t="str">
        <f>IF('Fee Receipt (Class-wise)'!C1374="", "", 'Fee Receipt (Class-wise)'!C1374)</f>
        <v>WELBERT SETHINA SHINE</v>
      </c>
      <c r="D775" s="25">
        <f>'Fee Receipt (Class-wise)'!K1374</f>
        <v>0</v>
      </c>
      <c r="E775" s="23"/>
      <c r="F775" s="25">
        <v>60</v>
      </c>
      <c r="G775" s="26" t="str">
        <f>IF('Fee Receipt (Class-wise)'!C1404="", "", 'Fee Receipt (Class-wise)'!C1404)</f>
        <v/>
      </c>
      <c r="H775" s="25">
        <f>'Fee Receipt (Class-wise)'!K1404</f>
        <v>980</v>
      </c>
      <c r="I775" s="23"/>
    </row>
    <row r="776" spans="1:9" ht="14.45" customHeight="1">
      <c r="A776" s="35"/>
      <c r="B776" s="25"/>
      <c r="C776" s="23"/>
      <c r="D776" s="23"/>
      <c r="E776" s="23"/>
      <c r="F776" s="33" t="s">
        <v>31</v>
      </c>
      <c r="G776" s="33"/>
      <c r="H776" s="24">
        <f>SUM(D746:D775)+SUM(H746:H775)</f>
        <v>41650</v>
      </c>
      <c r="I776" s="23"/>
    </row>
    <row r="777" spans="1:9" ht="14.45" customHeight="1">
      <c r="B777" s="23"/>
      <c r="C777" s="23"/>
      <c r="D777" s="23"/>
      <c r="E777" s="23"/>
      <c r="F777" s="23"/>
      <c r="G777" s="23"/>
      <c r="H777" s="23"/>
      <c r="I777" s="23"/>
    </row>
    <row r="778" spans="1:9" ht="14.45" customHeight="1">
      <c r="B778" s="23"/>
      <c r="C778" s="23"/>
      <c r="D778" s="23"/>
      <c r="E778" s="23"/>
      <c r="F778" s="23"/>
      <c r="G778" s="23"/>
      <c r="H778" s="23"/>
      <c r="I778" s="23"/>
    </row>
    <row r="779" spans="1:9" ht="14.45" customHeight="1">
      <c r="A779" s="49">
        <v>22</v>
      </c>
      <c r="B779" s="35" t="s">
        <v>33</v>
      </c>
      <c r="C779" s="35"/>
      <c r="D779" s="35"/>
      <c r="E779" s="35"/>
      <c r="F779" s="35"/>
      <c r="G779" s="35"/>
      <c r="H779" s="24" t="s">
        <v>36</v>
      </c>
      <c r="I779" s="23"/>
    </row>
    <row r="780" spans="1:9" ht="14.45" customHeight="1">
      <c r="A780" s="49"/>
      <c r="B780" s="23" t="s">
        <v>35</v>
      </c>
      <c r="C780" s="50" t="str">
        <f>IF('Fee Receipt (Class-wise)'!C1409="", "", 'Fee Receipt (Class-wise)'!C1409)</f>
        <v>BASIC 9A</v>
      </c>
      <c r="D780" s="50"/>
      <c r="E780" s="23"/>
      <c r="F780" s="23"/>
      <c r="G780" s="23"/>
      <c r="H780" s="49">
        <f>IF(C780="", "", H813)</f>
        <v>249600</v>
      </c>
      <c r="I780" s="23"/>
    </row>
    <row r="781" spans="1:9" ht="14.45" customHeight="1">
      <c r="A781" s="49"/>
      <c r="B781" s="23" t="s">
        <v>34</v>
      </c>
      <c r="C781" s="50" t="str">
        <f>IF(C780="", "", 'Fee Receipt (Class-wise)'!$H$2)</f>
        <v>2025-26</v>
      </c>
      <c r="D781" s="50"/>
      <c r="E781" s="23"/>
      <c r="F781" s="23"/>
      <c r="G781" s="23"/>
      <c r="H781" s="49"/>
      <c r="I781" s="23"/>
    </row>
    <row r="782" spans="1:9" ht="14.45" customHeight="1">
      <c r="A782" s="35"/>
      <c r="B782" s="25" t="s">
        <v>1</v>
      </c>
      <c r="C782" s="25" t="s">
        <v>2</v>
      </c>
      <c r="D782" s="25" t="s">
        <v>9</v>
      </c>
      <c r="E782" s="23"/>
      <c r="F782" s="25" t="s">
        <v>1</v>
      </c>
      <c r="G782" s="25" t="s">
        <v>2</v>
      </c>
      <c r="H782" s="25" t="s">
        <v>9</v>
      </c>
      <c r="I782" s="23"/>
    </row>
    <row r="783" spans="1:9" ht="14.45" customHeight="1">
      <c r="A783" s="35"/>
      <c r="B783" s="25">
        <v>1</v>
      </c>
      <c r="C783" s="26" t="str">
        <f>IF('Fee Receipt (Class-wise)'!C1412="", "", 'Fee Receipt (Class-wise)'!C1412)</f>
        <v/>
      </c>
      <c r="D783" s="25">
        <f>'Fee Receipt (Class-wise)'!K1412</f>
        <v>4160</v>
      </c>
      <c r="E783" s="23"/>
      <c r="F783" s="25">
        <v>31</v>
      </c>
      <c r="G783" s="26" t="str">
        <f>IF('Fee Receipt (Class-wise)'!C1443="", "", 'Fee Receipt (Class-wise)'!C1443)</f>
        <v/>
      </c>
      <c r="H783" s="25">
        <f>'Fee Receipt (Class-wise)'!K1443</f>
        <v>4160</v>
      </c>
      <c r="I783" s="23"/>
    </row>
    <row r="784" spans="1:9" ht="14.45" customHeight="1">
      <c r="A784" s="35"/>
      <c r="B784" s="25">
        <v>2</v>
      </c>
      <c r="C784" s="26" t="str">
        <f>IF('Fee Receipt (Class-wise)'!C1413="", "", 'Fee Receipt (Class-wise)'!C1413)</f>
        <v/>
      </c>
      <c r="D784" s="25">
        <f>'Fee Receipt (Class-wise)'!K1413</f>
        <v>4160</v>
      </c>
      <c r="E784" s="23"/>
      <c r="F784" s="25">
        <v>32</v>
      </c>
      <c r="G784" s="26" t="str">
        <f>IF('Fee Receipt (Class-wise)'!C1444="", "", 'Fee Receipt (Class-wise)'!C1444)</f>
        <v/>
      </c>
      <c r="H784" s="25">
        <f>'Fee Receipt (Class-wise)'!K1444</f>
        <v>4160</v>
      </c>
      <c r="I784" s="23"/>
    </row>
    <row r="785" spans="1:9" ht="14.45" customHeight="1">
      <c r="A785" s="35"/>
      <c r="B785" s="25">
        <v>3</v>
      </c>
      <c r="C785" s="26" t="str">
        <f>IF('Fee Receipt (Class-wise)'!C1414="", "", 'Fee Receipt (Class-wise)'!C1414)</f>
        <v/>
      </c>
      <c r="D785" s="25">
        <f>'Fee Receipt (Class-wise)'!K1414</f>
        <v>4160</v>
      </c>
      <c r="E785" s="23"/>
      <c r="F785" s="25">
        <v>33</v>
      </c>
      <c r="G785" s="26" t="str">
        <f>IF('Fee Receipt (Class-wise)'!C1445="", "", 'Fee Receipt (Class-wise)'!C1445)</f>
        <v/>
      </c>
      <c r="H785" s="25">
        <f>'Fee Receipt (Class-wise)'!K1445</f>
        <v>4160</v>
      </c>
      <c r="I785" s="23"/>
    </row>
    <row r="786" spans="1:9" ht="14.45" customHeight="1">
      <c r="A786" s="35"/>
      <c r="B786" s="25">
        <v>4</v>
      </c>
      <c r="C786" s="26" t="str">
        <f>IF('Fee Receipt (Class-wise)'!C1415="", "", 'Fee Receipt (Class-wise)'!C1415)</f>
        <v/>
      </c>
      <c r="D786" s="25">
        <f>'Fee Receipt (Class-wise)'!K1415</f>
        <v>4160</v>
      </c>
      <c r="E786" s="23"/>
      <c r="F786" s="25">
        <v>34</v>
      </c>
      <c r="G786" s="26" t="str">
        <f>IF('Fee Receipt (Class-wise)'!C1446="", "", 'Fee Receipt (Class-wise)'!C1446)</f>
        <v/>
      </c>
      <c r="H786" s="25">
        <f>'Fee Receipt (Class-wise)'!K1446</f>
        <v>4160</v>
      </c>
      <c r="I786" s="23"/>
    </row>
    <row r="787" spans="1:9" ht="14.45" customHeight="1">
      <c r="A787" s="35"/>
      <c r="B787" s="25">
        <v>5</v>
      </c>
      <c r="C787" s="26" t="str">
        <f>IF('Fee Receipt (Class-wise)'!C1416="", "", 'Fee Receipt (Class-wise)'!C1416)</f>
        <v/>
      </c>
      <c r="D787" s="25">
        <f>'Fee Receipt (Class-wise)'!K1416</f>
        <v>4160</v>
      </c>
      <c r="E787" s="23"/>
      <c r="F787" s="25">
        <v>35</v>
      </c>
      <c r="G787" s="26" t="str">
        <f>IF('Fee Receipt (Class-wise)'!C1447="", "", 'Fee Receipt (Class-wise)'!C1447)</f>
        <v/>
      </c>
      <c r="H787" s="25">
        <f>'Fee Receipt (Class-wise)'!K1447</f>
        <v>4160</v>
      </c>
      <c r="I787" s="23"/>
    </row>
    <row r="788" spans="1:9" ht="14.45" customHeight="1">
      <c r="A788" s="35"/>
      <c r="B788" s="25">
        <v>6</v>
      </c>
      <c r="C788" s="26" t="str">
        <f>IF('Fee Receipt (Class-wise)'!C1417="", "", 'Fee Receipt (Class-wise)'!C1417)</f>
        <v/>
      </c>
      <c r="D788" s="25">
        <f>'Fee Receipt (Class-wise)'!K1417</f>
        <v>4160</v>
      </c>
      <c r="E788" s="23"/>
      <c r="F788" s="25">
        <v>36</v>
      </c>
      <c r="G788" s="26" t="str">
        <f>IF('Fee Receipt (Class-wise)'!C1448="", "", 'Fee Receipt (Class-wise)'!C1448)</f>
        <v/>
      </c>
      <c r="H788" s="25">
        <f>'Fee Receipt (Class-wise)'!K1448</f>
        <v>4160</v>
      </c>
      <c r="I788" s="23"/>
    </row>
    <row r="789" spans="1:9" ht="14.45" customHeight="1">
      <c r="A789" s="35"/>
      <c r="B789" s="25">
        <v>7</v>
      </c>
      <c r="C789" s="26" t="str">
        <f>IF('Fee Receipt (Class-wise)'!C1418="", "", 'Fee Receipt (Class-wise)'!C1418)</f>
        <v/>
      </c>
      <c r="D789" s="25">
        <f>'Fee Receipt (Class-wise)'!K1418</f>
        <v>4160</v>
      </c>
      <c r="E789" s="23"/>
      <c r="F789" s="25">
        <v>37</v>
      </c>
      <c r="G789" s="26" t="str">
        <f>IF('Fee Receipt (Class-wise)'!C1449="", "", 'Fee Receipt (Class-wise)'!C1449)</f>
        <v/>
      </c>
      <c r="H789" s="25">
        <f>'Fee Receipt (Class-wise)'!K1449</f>
        <v>4160</v>
      </c>
      <c r="I789" s="23"/>
    </row>
    <row r="790" spans="1:9" ht="14.45" customHeight="1">
      <c r="A790" s="35"/>
      <c r="B790" s="25">
        <v>8</v>
      </c>
      <c r="C790" s="26" t="str">
        <f>IF('Fee Receipt (Class-wise)'!C1419="", "", 'Fee Receipt (Class-wise)'!C1419)</f>
        <v/>
      </c>
      <c r="D790" s="25">
        <f>'Fee Receipt (Class-wise)'!K1419</f>
        <v>4160</v>
      </c>
      <c r="E790" s="23"/>
      <c r="F790" s="25">
        <v>38</v>
      </c>
      <c r="G790" s="26" t="str">
        <f>IF('Fee Receipt (Class-wise)'!C1450="", "", 'Fee Receipt (Class-wise)'!C1450)</f>
        <v/>
      </c>
      <c r="H790" s="25">
        <f>'Fee Receipt (Class-wise)'!K1450</f>
        <v>4160</v>
      </c>
      <c r="I790" s="23"/>
    </row>
    <row r="791" spans="1:9" ht="14.45" customHeight="1">
      <c r="A791" s="35"/>
      <c r="B791" s="25">
        <v>9</v>
      </c>
      <c r="C791" s="26" t="str">
        <f>IF('Fee Receipt (Class-wise)'!C1420="", "", 'Fee Receipt (Class-wise)'!C1420)</f>
        <v/>
      </c>
      <c r="D791" s="25">
        <f>'Fee Receipt (Class-wise)'!K1420</f>
        <v>4160</v>
      </c>
      <c r="E791" s="23"/>
      <c r="F791" s="25">
        <v>39</v>
      </c>
      <c r="G791" s="26" t="str">
        <f>IF('Fee Receipt (Class-wise)'!C1451="", "", 'Fee Receipt (Class-wise)'!C1451)</f>
        <v/>
      </c>
      <c r="H791" s="25">
        <f>'Fee Receipt (Class-wise)'!K1451</f>
        <v>4160</v>
      </c>
      <c r="I791" s="23"/>
    </row>
    <row r="792" spans="1:9" ht="14.45" customHeight="1">
      <c r="A792" s="35"/>
      <c r="B792" s="25">
        <v>10</v>
      </c>
      <c r="C792" s="26" t="str">
        <f>IF('Fee Receipt (Class-wise)'!C1421="", "", 'Fee Receipt (Class-wise)'!C1421)</f>
        <v/>
      </c>
      <c r="D792" s="25">
        <f>'Fee Receipt (Class-wise)'!K1421</f>
        <v>4160</v>
      </c>
      <c r="E792" s="23"/>
      <c r="F792" s="25">
        <v>40</v>
      </c>
      <c r="G792" s="26" t="str">
        <f>IF('Fee Receipt (Class-wise)'!C1452="", "", 'Fee Receipt (Class-wise)'!C1452)</f>
        <v/>
      </c>
      <c r="H792" s="25">
        <f>'Fee Receipt (Class-wise)'!K1452</f>
        <v>4160</v>
      </c>
      <c r="I792" s="23"/>
    </row>
    <row r="793" spans="1:9" ht="14.45" customHeight="1">
      <c r="A793" s="35"/>
      <c r="B793" s="25">
        <v>11</v>
      </c>
      <c r="C793" s="26" t="str">
        <f>IF('Fee Receipt (Class-wise)'!C1422="", "", 'Fee Receipt (Class-wise)'!C1422)</f>
        <v/>
      </c>
      <c r="D793" s="25">
        <f>'Fee Receipt (Class-wise)'!K1422</f>
        <v>4160</v>
      </c>
      <c r="E793" s="23"/>
      <c r="F793" s="25">
        <v>41</v>
      </c>
      <c r="G793" s="26" t="str">
        <f>IF('Fee Receipt (Class-wise)'!C1453="", "", 'Fee Receipt (Class-wise)'!C1453)</f>
        <v/>
      </c>
      <c r="H793" s="25">
        <f>'Fee Receipt (Class-wise)'!K1453</f>
        <v>4160</v>
      </c>
      <c r="I793" s="23"/>
    </row>
    <row r="794" spans="1:9" ht="14.45" customHeight="1">
      <c r="A794" s="35"/>
      <c r="B794" s="25">
        <v>12</v>
      </c>
      <c r="C794" s="26" t="str">
        <f>IF('Fee Receipt (Class-wise)'!C1423="", "", 'Fee Receipt (Class-wise)'!C1423)</f>
        <v/>
      </c>
      <c r="D794" s="25">
        <f>'Fee Receipt (Class-wise)'!K1423</f>
        <v>4160</v>
      </c>
      <c r="E794" s="23"/>
      <c r="F794" s="25">
        <v>42</v>
      </c>
      <c r="G794" s="26" t="str">
        <f>IF('Fee Receipt (Class-wise)'!C1454="", "", 'Fee Receipt (Class-wise)'!C1454)</f>
        <v/>
      </c>
      <c r="H794" s="25">
        <f>'Fee Receipt (Class-wise)'!K1454</f>
        <v>4160</v>
      </c>
      <c r="I794" s="23"/>
    </row>
    <row r="795" spans="1:9" ht="14.45" customHeight="1">
      <c r="A795" s="35"/>
      <c r="B795" s="25">
        <v>13</v>
      </c>
      <c r="C795" s="26" t="str">
        <f>IF('Fee Receipt (Class-wise)'!C1424="", "", 'Fee Receipt (Class-wise)'!C1424)</f>
        <v/>
      </c>
      <c r="D795" s="25">
        <f>'Fee Receipt (Class-wise)'!K1424</f>
        <v>4160</v>
      </c>
      <c r="E795" s="23"/>
      <c r="F795" s="25">
        <v>43</v>
      </c>
      <c r="G795" s="26" t="str">
        <f>IF('Fee Receipt (Class-wise)'!C1455="", "", 'Fee Receipt (Class-wise)'!C1455)</f>
        <v/>
      </c>
      <c r="H795" s="25">
        <f>'Fee Receipt (Class-wise)'!K1455</f>
        <v>4160</v>
      </c>
      <c r="I795" s="23"/>
    </row>
    <row r="796" spans="1:9" ht="14.45" customHeight="1">
      <c r="A796" s="35"/>
      <c r="B796" s="25">
        <v>14</v>
      </c>
      <c r="C796" s="26" t="str">
        <f>IF('Fee Receipt (Class-wise)'!C1426="", "", 'Fee Receipt (Class-wise)'!C1426)</f>
        <v/>
      </c>
      <c r="D796" s="25">
        <f>'Fee Receipt (Class-wise)'!K1426</f>
        <v>4160</v>
      </c>
      <c r="E796" s="23"/>
      <c r="F796" s="25">
        <v>44</v>
      </c>
      <c r="G796" s="26" t="str">
        <f>IF('Fee Receipt (Class-wise)'!C1456="", "", 'Fee Receipt (Class-wise)'!C1456)</f>
        <v/>
      </c>
      <c r="H796" s="25">
        <f>'Fee Receipt (Class-wise)'!K1456</f>
        <v>4160</v>
      </c>
      <c r="I796" s="23"/>
    </row>
    <row r="797" spans="1:9" ht="14.45" customHeight="1">
      <c r="A797" s="35"/>
      <c r="B797" s="25">
        <v>15</v>
      </c>
      <c r="C797" s="26" t="str">
        <f>IF('Fee Receipt (Class-wise)'!C1427="", "", 'Fee Receipt (Class-wise)'!C1427)</f>
        <v/>
      </c>
      <c r="D797" s="25">
        <f>'Fee Receipt (Class-wise)'!K1427</f>
        <v>4160</v>
      </c>
      <c r="E797" s="23"/>
      <c r="F797" s="25">
        <v>45</v>
      </c>
      <c r="G797" s="26" t="str">
        <f>IF('Fee Receipt (Class-wise)'!C1457="", "", 'Fee Receipt (Class-wise)'!C1457)</f>
        <v/>
      </c>
      <c r="H797" s="25">
        <f>'Fee Receipt (Class-wise)'!K1457</f>
        <v>4160</v>
      </c>
      <c r="I797" s="23"/>
    </row>
    <row r="798" spans="1:9" ht="14.45" customHeight="1">
      <c r="A798" s="35"/>
      <c r="B798" s="25">
        <v>16</v>
      </c>
      <c r="C798" s="26" t="str">
        <f>IF('Fee Receipt (Class-wise)'!C1428="", "", 'Fee Receipt (Class-wise)'!C1428)</f>
        <v/>
      </c>
      <c r="D798" s="25">
        <f>'Fee Receipt (Class-wise)'!K1428</f>
        <v>4160</v>
      </c>
      <c r="E798" s="23"/>
      <c r="F798" s="25">
        <v>46</v>
      </c>
      <c r="G798" s="26" t="str">
        <f>IF('Fee Receipt (Class-wise)'!C1458="", "", 'Fee Receipt (Class-wise)'!C1458)</f>
        <v/>
      </c>
      <c r="H798" s="25">
        <f>'Fee Receipt (Class-wise)'!K1458</f>
        <v>4160</v>
      </c>
      <c r="I798" s="23"/>
    </row>
    <row r="799" spans="1:9" ht="14.45" customHeight="1">
      <c r="A799" s="35"/>
      <c r="B799" s="25">
        <v>17</v>
      </c>
      <c r="C799" s="26" t="str">
        <f>IF('Fee Receipt (Class-wise)'!C1429="", "", 'Fee Receipt (Class-wise)'!C1429)</f>
        <v/>
      </c>
      <c r="D799" s="25">
        <f>'Fee Receipt (Class-wise)'!K1429</f>
        <v>4160</v>
      </c>
      <c r="E799" s="23"/>
      <c r="F799" s="25">
        <v>47</v>
      </c>
      <c r="G799" s="26" t="str">
        <f>IF('Fee Receipt (Class-wise)'!C1459="", "", 'Fee Receipt (Class-wise)'!C1459)</f>
        <v/>
      </c>
      <c r="H799" s="25">
        <f>'Fee Receipt (Class-wise)'!K1459</f>
        <v>4160</v>
      </c>
      <c r="I799" s="23"/>
    </row>
    <row r="800" spans="1:9" ht="14.45" customHeight="1">
      <c r="A800" s="35"/>
      <c r="B800" s="25">
        <v>18</v>
      </c>
      <c r="C800" s="26" t="str">
        <f>IF('Fee Receipt (Class-wise)'!C1430="", "", 'Fee Receipt (Class-wise)'!C1430)</f>
        <v/>
      </c>
      <c r="D800" s="25">
        <f>'Fee Receipt (Class-wise)'!K1430</f>
        <v>4160</v>
      </c>
      <c r="E800" s="23"/>
      <c r="F800" s="25">
        <v>48</v>
      </c>
      <c r="G800" s="26" t="str">
        <f>IF('Fee Receipt (Class-wise)'!C1460="", "", 'Fee Receipt (Class-wise)'!C1460)</f>
        <v/>
      </c>
      <c r="H800" s="25">
        <f>'Fee Receipt (Class-wise)'!K1460</f>
        <v>4160</v>
      </c>
      <c r="I800" s="23"/>
    </row>
    <row r="801" spans="1:9" ht="14.45" customHeight="1">
      <c r="A801" s="35"/>
      <c r="B801" s="25">
        <v>19</v>
      </c>
      <c r="C801" s="26" t="str">
        <f>IF('Fee Receipt (Class-wise)'!C1431="", "", 'Fee Receipt (Class-wise)'!C1431)</f>
        <v/>
      </c>
      <c r="D801" s="25">
        <f>'Fee Receipt (Class-wise)'!K1431</f>
        <v>4160</v>
      </c>
      <c r="E801" s="23"/>
      <c r="F801" s="25">
        <v>49</v>
      </c>
      <c r="G801" s="26" t="str">
        <f>IF('Fee Receipt (Class-wise)'!C1461="", "", 'Fee Receipt (Class-wise)'!C1461)</f>
        <v/>
      </c>
      <c r="H801" s="25">
        <f>'Fee Receipt (Class-wise)'!K1461</f>
        <v>4160</v>
      </c>
      <c r="I801" s="23"/>
    </row>
    <row r="802" spans="1:9" ht="14.45" customHeight="1">
      <c r="A802" s="35"/>
      <c r="B802" s="25">
        <v>20</v>
      </c>
      <c r="C802" s="26" t="str">
        <f>IF('Fee Receipt (Class-wise)'!C1432="", "", 'Fee Receipt (Class-wise)'!C1432)</f>
        <v/>
      </c>
      <c r="D802" s="25">
        <f>'Fee Receipt (Class-wise)'!K1432</f>
        <v>4160</v>
      </c>
      <c r="E802" s="23"/>
      <c r="F802" s="25">
        <v>50</v>
      </c>
      <c r="G802" s="26" t="str">
        <f>IF('Fee Receipt (Class-wise)'!C1462="", "", 'Fee Receipt (Class-wise)'!C1462)</f>
        <v/>
      </c>
      <c r="H802" s="25">
        <f>'Fee Receipt (Class-wise)'!K1462</f>
        <v>4160</v>
      </c>
      <c r="I802" s="23"/>
    </row>
    <row r="803" spans="1:9" ht="14.45" customHeight="1">
      <c r="A803" s="35"/>
      <c r="B803" s="25">
        <v>21</v>
      </c>
      <c r="C803" s="26" t="str">
        <f>IF('Fee Receipt (Class-wise)'!C1433="", "", 'Fee Receipt (Class-wise)'!C1433)</f>
        <v/>
      </c>
      <c r="D803" s="25">
        <f>'Fee Receipt (Class-wise)'!K1433</f>
        <v>4160</v>
      </c>
      <c r="E803" s="23"/>
      <c r="F803" s="25">
        <v>51</v>
      </c>
      <c r="G803" s="26" t="str">
        <f>IF('Fee Receipt (Class-wise)'!C1463="", "", 'Fee Receipt (Class-wise)'!C1463)</f>
        <v/>
      </c>
      <c r="H803" s="25">
        <f>'Fee Receipt (Class-wise)'!K1463</f>
        <v>4160</v>
      </c>
      <c r="I803" s="23"/>
    </row>
    <row r="804" spans="1:9" ht="14.45" customHeight="1">
      <c r="A804" s="35"/>
      <c r="B804" s="25">
        <v>22</v>
      </c>
      <c r="C804" s="26" t="str">
        <f>IF('Fee Receipt (Class-wise)'!C1434="", "", 'Fee Receipt (Class-wise)'!C1434)</f>
        <v/>
      </c>
      <c r="D804" s="25">
        <f>'Fee Receipt (Class-wise)'!K1434</f>
        <v>4160</v>
      </c>
      <c r="E804" s="23"/>
      <c r="F804" s="25">
        <v>52</v>
      </c>
      <c r="G804" s="26" t="str">
        <f>IF('Fee Receipt (Class-wise)'!C1464="", "", 'Fee Receipt (Class-wise)'!C1464)</f>
        <v/>
      </c>
      <c r="H804" s="25">
        <f>'Fee Receipt (Class-wise)'!K1464</f>
        <v>4160</v>
      </c>
      <c r="I804" s="23"/>
    </row>
    <row r="805" spans="1:9" ht="14.45" customHeight="1">
      <c r="A805" s="35"/>
      <c r="B805" s="25">
        <v>23</v>
      </c>
      <c r="C805" s="26" t="str">
        <f>IF('Fee Receipt (Class-wise)'!C1435="", "", 'Fee Receipt (Class-wise)'!C1435)</f>
        <v/>
      </c>
      <c r="D805" s="25">
        <f>'Fee Receipt (Class-wise)'!K1435</f>
        <v>4160</v>
      </c>
      <c r="E805" s="23"/>
      <c r="F805" s="25">
        <v>53</v>
      </c>
      <c r="G805" s="26" t="str">
        <f>IF('Fee Receipt (Class-wise)'!C1465="", "", 'Fee Receipt (Class-wise)'!C1465)</f>
        <v/>
      </c>
      <c r="H805" s="25">
        <f>'Fee Receipt (Class-wise)'!K1465</f>
        <v>4160</v>
      </c>
      <c r="I805" s="23"/>
    </row>
    <row r="806" spans="1:9" ht="14.45" customHeight="1">
      <c r="A806" s="35"/>
      <c r="B806" s="25">
        <v>24</v>
      </c>
      <c r="C806" s="26" t="str">
        <f>IF('Fee Receipt (Class-wise)'!C1436="", "", 'Fee Receipt (Class-wise)'!C1436)</f>
        <v/>
      </c>
      <c r="D806" s="25">
        <f>'Fee Receipt (Class-wise)'!K1436</f>
        <v>4160</v>
      </c>
      <c r="E806" s="23"/>
      <c r="F806" s="25">
        <v>54</v>
      </c>
      <c r="G806" s="26" t="str">
        <f>IF('Fee Receipt (Class-wise)'!C1466="", "", 'Fee Receipt (Class-wise)'!C1466)</f>
        <v/>
      </c>
      <c r="H806" s="25">
        <f>'Fee Receipt (Class-wise)'!K1466</f>
        <v>4160</v>
      </c>
      <c r="I806" s="23"/>
    </row>
    <row r="807" spans="1:9" ht="14.45" customHeight="1">
      <c r="A807" s="35"/>
      <c r="B807" s="25">
        <v>25</v>
      </c>
      <c r="C807" s="26" t="str">
        <f>IF('Fee Receipt (Class-wise)'!C1437="", "", 'Fee Receipt (Class-wise)'!C1437)</f>
        <v/>
      </c>
      <c r="D807" s="25">
        <f>'Fee Receipt (Class-wise)'!K1437</f>
        <v>4160</v>
      </c>
      <c r="E807" s="23"/>
      <c r="F807" s="25">
        <v>55</v>
      </c>
      <c r="G807" s="26" t="str">
        <f>IF('Fee Receipt (Class-wise)'!C1467="", "", 'Fee Receipt (Class-wise)'!C1467)</f>
        <v/>
      </c>
      <c r="H807" s="25">
        <f>'Fee Receipt (Class-wise)'!K1467</f>
        <v>4160</v>
      </c>
      <c r="I807" s="23"/>
    </row>
    <row r="808" spans="1:9" ht="14.45" customHeight="1">
      <c r="A808" s="35"/>
      <c r="B808" s="25">
        <v>26</v>
      </c>
      <c r="C808" s="26" t="str">
        <f>IF('Fee Receipt (Class-wise)'!C1438="", "", 'Fee Receipt (Class-wise)'!C1438)</f>
        <v/>
      </c>
      <c r="D808" s="25">
        <f>'Fee Receipt (Class-wise)'!K1438</f>
        <v>4160</v>
      </c>
      <c r="E808" s="23"/>
      <c r="F808" s="25">
        <v>56</v>
      </c>
      <c r="G808" s="26" t="str">
        <f>IF('Fee Receipt (Class-wise)'!C1468="", "", 'Fee Receipt (Class-wise)'!C1468)</f>
        <v/>
      </c>
      <c r="H808" s="25">
        <f>'Fee Receipt (Class-wise)'!K1468</f>
        <v>4160</v>
      </c>
      <c r="I808" s="23"/>
    </row>
    <row r="809" spans="1:9" ht="14.45" customHeight="1">
      <c r="A809" s="35"/>
      <c r="B809" s="25">
        <v>27</v>
      </c>
      <c r="C809" s="26" t="str">
        <f>IF('Fee Receipt (Class-wise)'!C1439="", "", 'Fee Receipt (Class-wise)'!C1439)</f>
        <v/>
      </c>
      <c r="D809" s="25">
        <f>'Fee Receipt (Class-wise)'!K1439</f>
        <v>4160</v>
      </c>
      <c r="E809" s="23"/>
      <c r="F809" s="25">
        <v>57</v>
      </c>
      <c r="G809" s="26" t="str">
        <f>IF('Fee Receipt (Class-wise)'!C1469="", "", 'Fee Receipt (Class-wise)'!C1469)</f>
        <v/>
      </c>
      <c r="H809" s="25">
        <f>'Fee Receipt (Class-wise)'!K1469</f>
        <v>4160</v>
      </c>
      <c r="I809" s="23"/>
    </row>
    <row r="810" spans="1:9" ht="14.45" customHeight="1">
      <c r="A810" s="35"/>
      <c r="B810" s="25">
        <v>28</v>
      </c>
      <c r="C810" s="26" t="str">
        <f>IF('Fee Receipt (Class-wise)'!C1440="", "", 'Fee Receipt (Class-wise)'!C1440)</f>
        <v/>
      </c>
      <c r="D810" s="25">
        <f>'Fee Receipt (Class-wise)'!K1440</f>
        <v>4160</v>
      </c>
      <c r="E810" s="23"/>
      <c r="F810" s="25">
        <v>58</v>
      </c>
      <c r="G810" s="26" t="str">
        <f>IF('Fee Receipt (Class-wise)'!C1470="", "", 'Fee Receipt (Class-wise)'!C1470)</f>
        <v/>
      </c>
      <c r="H810" s="25">
        <f>'Fee Receipt (Class-wise)'!K1470</f>
        <v>4160</v>
      </c>
      <c r="I810" s="23"/>
    </row>
    <row r="811" spans="1:9" ht="14.45" customHeight="1">
      <c r="A811" s="35"/>
      <c r="B811" s="25">
        <v>29</v>
      </c>
      <c r="C811" s="26" t="str">
        <f>IF('Fee Receipt (Class-wise)'!C1441="", "", 'Fee Receipt (Class-wise)'!C1441)</f>
        <v/>
      </c>
      <c r="D811" s="25">
        <f>'Fee Receipt (Class-wise)'!K1441</f>
        <v>4160</v>
      </c>
      <c r="E811" s="23"/>
      <c r="F811" s="25">
        <v>59</v>
      </c>
      <c r="G811" s="26" t="str">
        <f>IF('Fee Receipt (Class-wise)'!C1471="", "", 'Fee Receipt (Class-wise)'!C1471)</f>
        <v/>
      </c>
      <c r="H811" s="25">
        <f>'Fee Receipt (Class-wise)'!K1471</f>
        <v>4160</v>
      </c>
      <c r="I811" s="23"/>
    </row>
    <row r="812" spans="1:9" ht="14.45" customHeight="1">
      <c r="A812" s="35"/>
      <c r="B812" s="25">
        <v>30</v>
      </c>
      <c r="C812" s="26" t="str">
        <f>IF('Fee Receipt (Class-wise)'!C1442="", "", 'Fee Receipt (Class-wise)'!C1442)</f>
        <v/>
      </c>
      <c r="D812" s="25">
        <f>'Fee Receipt (Class-wise)'!K1442</f>
        <v>4160</v>
      </c>
      <c r="E812" s="23"/>
      <c r="F812" s="25">
        <v>60</v>
      </c>
      <c r="G812" s="26" t="str">
        <f>IF('Fee Receipt (Class-wise)'!C1472="", "", 'Fee Receipt (Class-wise)'!C1472)</f>
        <v/>
      </c>
      <c r="H812" s="25">
        <f>'Fee Receipt (Class-wise)'!K1472</f>
        <v>4160</v>
      </c>
      <c r="I812" s="23"/>
    </row>
    <row r="813" spans="1:9" ht="14.45" customHeight="1">
      <c r="A813" s="35"/>
      <c r="B813" s="25"/>
      <c r="C813" s="23"/>
      <c r="D813" s="23"/>
      <c r="E813" s="23"/>
      <c r="F813" s="33" t="s">
        <v>31</v>
      </c>
      <c r="G813" s="33"/>
      <c r="H813" s="24">
        <f>SUM(D783:D812)+SUM(H783:H812)</f>
        <v>249600</v>
      </c>
      <c r="I813" s="23"/>
    </row>
    <row r="814" spans="1:9" ht="14.45" customHeight="1">
      <c r="B814" s="23"/>
      <c r="C814" s="23"/>
      <c r="D814" s="23"/>
      <c r="E814" s="23"/>
      <c r="F814" s="23"/>
      <c r="G814" s="23"/>
      <c r="H814" s="23"/>
      <c r="I814" s="23"/>
    </row>
    <row r="815" spans="1:9" ht="14.45" customHeight="1">
      <c r="B815" s="23"/>
      <c r="C815" s="23"/>
      <c r="D815" s="23"/>
      <c r="E815" s="23"/>
      <c r="F815" s="23"/>
      <c r="G815" s="23"/>
      <c r="H815" s="23"/>
      <c r="I815" s="23"/>
    </row>
    <row r="816" spans="1:9" ht="14.45" customHeight="1">
      <c r="A816" s="49">
        <v>23</v>
      </c>
      <c r="B816" s="35" t="s">
        <v>33</v>
      </c>
      <c r="C816" s="35"/>
      <c r="D816" s="35"/>
      <c r="E816" s="35"/>
      <c r="F816" s="35"/>
      <c r="G816" s="35"/>
      <c r="H816" s="24" t="s">
        <v>36</v>
      </c>
      <c r="I816" s="23"/>
    </row>
    <row r="817" spans="1:9" ht="14.45" customHeight="1">
      <c r="A817" s="49"/>
      <c r="B817" s="23" t="s">
        <v>35</v>
      </c>
      <c r="C817" s="50" t="str">
        <f>IF('Fee Receipt (Class-wise)'!C1477="", "", 'Fee Receipt (Class-wise)'!C1477)</f>
        <v>BASIC 9B</v>
      </c>
      <c r="D817" s="50"/>
      <c r="E817" s="23"/>
      <c r="F817" s="23"/>
      <c r="G817" s="23"/>
      <c r="H817" s="49">
        <f>IF(C817="", "", H850)</f>
        <v>249600</v>
      </c>
      <c r="I817" s="23"/>
    </row>
    <row r="818" spans="1:9" ht="14.45" customHeight="1">
      <c r="A818" s="49"/>
      <c r="B818" s="23" t="s">
        <v>34</v>
      </c>
      <c r="C818" s="50" t="str">
        <f>IF(C817="", "", 'Fee Receipt (Class-wise)'!$H$2)</f>
        <v>2025-26</v>
      </c>
      <c r="D818" s="50"/>
      <c r="E818" s="23"/>
      <c r="F818" s="23"/>
      <c r="G818" s="23"/>
      <c r="H818" s="49"/>
      <c r="I818" s="23"/>
    </row>
    <row r="819" spans="1:9" ht="14.45" customHeight="1">
      <c r="A819" s="35"/>
      <c r="B819" s="25" t="s">
        <v>1</v>
      </c>
      <c r="C819" s="25" t="s">
        <v>2</v>
      </c>
      <c r="D819" s="25" t="s">
        <v>9</v>
      </c>
      <c r="E819" s="23"/>
      <c r="F819" s="25" t="s">
        <v>1</v>
      </c>
      <c r="G819" s="25" t="s">
        <v>2</v>
      </c>
      <c r="H819" s="25" t="s">
        <v>9</v>
      </c>
      <c r="I819" s="23"/>
    </row>
    <row r="820" spans="1:9" ht="14.45" customHeight="1">
      <c r="A820" s="35"/>
      <c r="B820" s="25">
        <v>1</v>
      </c>
      <c r="C820" s="26" t="str">
        <f>IF('Fee Receipt (Class-wise)'!C1480="", "", 'Fee Receipt (Class-wise)'!C1480)</f>
        <v/>
      </c>
      <c r="D820" s="25">
        <f>'Fee Receipt (Class-wise)'!K1480</f>
        <v>4160</v>
      </c>
      <c r="E820" s="23"/>
      <c r="F820" s="25">
        <v>31</v>
      </c>
      <c r="G820" s="26" t="str">
        <f>IF('Fee Receipt (Class-wise)'!C1510="", "", 'Fee Receipt (Class-wise)'!C1510)</f>
        <v/>
      </c>
      <c r="H820" s="25">
        <f>'Fee Receipt (Class-wise)'!K1510</f>
        <v>4160</v>
      </c>
      <c r="I820" s="23"/>
    </row>
    <row r="821" spans="1:9" ht="14.45" customHeight="1">
      <c r="A821" s="35"/>
      <c r="B821" s="25">
        <v>2</v>
      </c>
      <c r="C821" s="26" t="str">
        <f>IF('Fee Receipt (Class-wise)'!C1481="", "", 'Fee Receipt (Class-wise)'!C1481)</f>
        <v/>
      </c>
      <c r="D821" s="25">
        <f>'Fee Receipt (Class-wise)'!K1481</f>
        <v>4160</v>
      </c>
      <c r="E821" s="23"/>
      <c r="F821" s="25">
        <v>32</v>
      </c>
      <c r="G821" s="26" t="str">
        <f>IF('Fee Receipt (Class-wise)'!C1511="", "", 'Fee Receipt (Class-wise)'!C1511)</f>
        <v/>
      </c>
      <c r="H821" s="25">
        <f>'Fee Receipt (Class-wise)'!K1511</f>
        <v>4160</v>
      </c>
      <c r="I821" s="23"/>
    </row>
    <row r="822" spans="1:9" ht="14.45" customHeight="1">
      <c r="A822" s="35"/>
      <c r="B822" s="25">
        <v>3</v>
      </c>
      <c r="C822" s="26" t="str">
        <f>IF('Fee Receipt (Class-wise)'!C1482="", "", 'Fee Receipt (Class-wise)'!C1482)</f>
        <v/>
      </c>
      <c r="D822" s="25">
        <f>'Fee Receipt (Class-wise)'!K1482</f>
        <v>4160</v>
      </c>
      <c r="E822" s="23"/>
      <c r="F822" s="25">
        <v>33</v>
      </c>
      <c r="G822" s="26" t="str">
        <f>IF('Fee Receipt (Class-wise)'!C1512="", "", 'Fee Receipt (Class-wise)'!C1512)</f>
        <v/>
      </c>
      <c r="H822" s="25">
        <f>'Fee Receipt (Class-wise)'!K1512</f>
        <v>4160</v>
      </c>
      <c r="I822" s="23"/>
    </row>
    <row r="823" spans="1:9" ht="14.45" customHeight="1">
      <c r="A823" s="35"/>
      <c r="B823" s="25">
        <v>4</v>
      </c>
      <c r="C823" s="26" t="str">
        <f>IF('Fee Receipt (Class-wise)'!C1483="", "", 'Fee Receipt (Class-wise)'!C1483)</f>
        <v/>
      </c>
      <c r="D823" s="25">
        <f>'Fee Receipt (Class-wise)'!K1483</f>
        <v>4160</v>
      </c>
      <c r="E823" s="23"/>
      <c r="F823" s="25">
        <v>34</v>
      </c>
      <c r="G823" s="26" t="str">
        <f>IF('Fee Receipt (Class-wise)'!C1513="", "", 'Fee Receipt (Class-wise)'!C1513)</f>
        <v/>
      </c>
      <c r="H823" s="25">
        <f>'Fee Receipt (Class-wise)'!K1513</f>
        <v>4160</v>
      </c>
      <c r="I823" s="23"/>
    </row>
    <row r="824" spans="1:9" ht="14.45" customHeight="1">
      <c r="A824" s="35"/>
      <c r="B824" s="25">
        <v>5</v>
      </c>
      <c r="C824" s="26" t="str">
        <f>IF('Fee Receipt (Class-wise)'!C1484="", "", 'Fee Receipt (Class-wise)'!C1484)</f>
        <v/>
      </c>
      <c r="D824" s="25">
        <f>'Fee Receipt (Class-wise)'!K1484</f>
        <v>4160</v>
      </c>
      <c r="E824" s="23"/>
      <c r="F824" s="25">
        <v>35</v>
      </c>
      <c r="G824" s="26" t="str">
        <f>IF('Fee Receipt (Class-wise)'!C1514="", "", 'Fee Receipt (Class-wise)'!C1514)</f>
        <v/>
      </c>
      <c r="H824" s="25">
        <f>'Fee Receipt (Class-wise)'!K1514</f>
        <v>4160</v>
      </c>
      <c r="I824" s="23"/>
    </row>
    <row r="825" spans="1:9" ht="14.45" customHeight="1">
      <c r="A825" s="35"/>
      <c r="B825" s="25">
        <v>6</v>
      </c>
      <c r="C825" s="26" t="str">
        <f>IF('Fee Receipt (Class-wise)'!C1485="", "", 'Fee Receipt (Class-wise)'!C1485)</f>
        <v/>
      </c>
      <c r="D825" s="25">
        <f>'Fee Receipt (Class-wise)'!K1485</f>
        <v>4160</v>
      </c>
      <c r="E825" s="23"/>
      <c r="F825" s="25">
        <v>36</v>
      </c>
      <c r="G825" s="26" t="str">
        <f>IF('Fee Receipt (Class-wise)'!C1515="", "", 'Fee Receipt (Class-wise)'!C1515)</f>
        <v/>
      </c>
      <c r="H825" s="25">
        <f>'Fee Receipt (Class-wise)'!K1515</f>
        <v>4160</v>
      </c>
      <c r="I825" s="23"/>
    </row>
    <row r="826" spans="1:9" ht="14.45" customHeight="1">
      <c r="A826" s="35"/>
      <c r="B826" s="25">
        <v>7</v>
      </c>
      <c r="C826" s="26" t="str">
        <f>IF('Fee Receipt (Class-wise)'!C1486="", "", 'Fee Receipt (Class-wise)'!C1486)</f>
        <v/>
      </c>
      <c r="D826" s="25">
        <f>'Fee Receipt (Class-wise)'!K1486</f>
        <v>4160</v>
      </c>
      <c r="E826" s="23"/>
      <c r="F826" s="25">
        <v>37</v>
      </c>
      <c r="G826" s="26" t="str">
        <f>IF('Fee Receipt (Class-wise)'!C1516="", "", 'Fee Receipt (Class-wise)'!C1516)</f>
        <v/>
      </c>
      <c r="H826" s="25">
        <f>'Fee Receipt (Class-wise)'!K1516</f>
        <v>4160</v>
      </c>
      <c r="I826" s="23"/>
    </row>
    <row r="827" spans="1:9" ht="14.45" customHeight="1">
      <c r="A827" s="35"/>
      <c r="B827" s="25">
        <v>8</v>
      </c>
      <c r="C827" s="26" t="str">
        <f>IF('Fee Receipt (Class-wise)'!C1487="", "", 'Fee Receipt (Class-wise)'!C1487)</f>
        <v/>
      </c>
      <c r="D827" s="25">
        <f>'Fee Receipt (Class-wise)'!K1487</f>
        <v>4160</v>
      </c>
      <c r="E827" s="23"/>
      <c r="F827" s="25">
        <v>38</v>
      </c>
      <c r="G827" s="26" t="str">
        <f>IF('Fee Receipt (Class-wise)'!C1517="", "", 'Fee Receipt (Class-wise)'!C1517)</f>
        <v/>
      </c>
      <c r="H827" s="25">
        <f>'Fee Receipt (Class-wise)'!K1517</f>
        <v>4160</v>
      </c>
      <c r="I827" s="23"/>
    </row>
    <row r="828" spans="1:9" ht="14.45" customHeight="1">
      <c r="A828" s="35"/>
      <c r="B828" s="25">
        <v>9</v>
      </c>
      <c r="C828" s="26" t="str">
        <f>IF('Fee Receipt (Class-wise)'!C1488="", "", 'Fee Receipt (Class-wise)'!C1488)</f>
        <v/>
      </c>
      <c r="D828" s="25">
        <f>'Fee Receipt (Class-wise)'!K1488</f>
        <v>4160</v>
      </c>
      <c r="E828" s="23"/>
      <c r="F828" s="25">
        <v>39</v>
      </c>
      <c r="G828" s="26" t="str">
        <f>IF('Fee Receipt (Class-wise)'!C1518="", "", 'Fee Receipt (Class-wise)'!C1518)</f>
        <v/>
      </c>
      <c r="H828" s="25">
        <f>'Fee Receipt (Class-wise)'!K1518</f>
        <v>4160</v>
      </c>
      <c r="I828" s="23"/>
    </row>
    <row r="829" spans="1:9" ht="14.45" customHeight="1">
      <c r="A829" s="35"/>
      <c r="B829" s="25">
        <v>10</v>
      </c>
      <c r="C829" s="26" t="str">
        <f>IF('Fee Receipt (Class-wise)'!C1489="", "", 'Fee Receipt (Class-wise)'!C1489)</f>
        <v/>
      </c>
      <c r="D829" s="25">
        <f>'Fee Receipt (Class-wise)'!K1489</f>
        <v>4160</v>
      </c>
      <c r="E829" s="23"/>
      <c r="F829" s="25">
        <v>40</v>
      </c>
      <c r="G829" s="26" t="str">
        <f>IF('Fee Receipt (Class-wise)'!C1519="", "", 'Fee Receipt (Class-wise)'!C1519)</f>
        <v/>
      </c>
      <c r="H829" s="25">
        <f>'Fee Receipt (Class-wise)'!K1519</f>
        <v>4160</v>
      </c>
      <c r="I829" s="23"/>
    </row>
    <row r="830" spans="1:9" ht="14.45" customHeight="1">
      <c r="A830" s="35"/>
      <c r="B830" s="25">
        <v>11</v>
      </c>
      <c r="C830" s="26" t="str">
        <f>IF('Fee Receipt (Class-wise)'!C1490="", "", 'Fee Receipt (Class-wise)'!C1490)</f>
        <v/>
      </c>
      <c r="D830" s="25">
        <f>'Fee Receipt (Class-wise)'!K1490</f>
        <v>4160</v>
      </c>
      <c r="E830" s="23"/>
      <c r="F830" s="25">
        <v>41</v>
      </c>
      <c r="G830" s="26" t="str">
        <f>IF('Fee Receipt (Class-wise)'!C1520="", "", 'Fee Receipt (Class-wise)'!C1520)</f>
        <v/>
      </c>
      <c r="H830" s="25">
        <f>'Fee Receipt (Class-wise)'!K1520</f>
        <v>4160</v>
      </c>
      <c r="I830" s="23"/>
    </row>
    <row r="831" spans="1:9" ht="14.45" customHeight="1">
      <c r="A831" s="35"/>
      <c r="B831" s="25">
        <v>12</v>
      </c>
      <c r="C831" s="26" t="str">
        <f>IF('Fee Receipt (Class-wise)'!C1491="", "", 'Fee Receipt (Class-wise)'!C1491)</f>
        <v/>
      </c>
      <c r="D831" s="25">
        <f>'Fee Receipt (Class-wise)'!K1491</f>
        <v>4160</v>
      </c>
      <c r="E831" s="23"/>
      <c r="F831" s="25">
        <v>42</v>
      </c>
      <c r="G831" s="26" t="str">
        <f>IF('Fee Receipt (Class-wise)'!C1521="", "", 'Fee Receipt (Class-wise)'!C1521)</f>
        <v/>
      </c>
      <c r="H831" s="25">
        <f>'Fee Receipt (Class-wise)'!K1521</f>
        <v>4160</v>
      </c>
      <c r="I831" s="23"/>
    </row>
    <row r="832" spans="1:9" ht="14.45" customHeight="1">
      <c r="A832" s="35"/>
      <c r="B832" s="25">
        <v>13</v>
      </c>
      <c r="C832" s="26" t="str">
        <f>IF('Fee Receipt (Class-wise)'!C1492="", "", 'Fee Receipt (Class-wise)'!C1492)</f>
        <v/>
      </c>
      <c r="D832" s="25">
        <f>'Fee Receipt (Class-wise)'!K1492</f>
        <v>4160</v>
      </c>
      <c r="E832" s="23"/>
      <c r="F832" s="25">
        <v>43</v>
      </c>
      <c r="G832" s="26" t="str">
        <f>IF('Fee Receipt (Class-wise)'!C1522="", "", 'Fee Receipt (Class-wise)'!C1522)</f>
        <v/>
      </c>
      <c r="H832" s="25">
        <f>'Fee Receipt (Class-wise)'!K1522</f>
        <v>4160</v>
      </c>
      <c r="I832" s="23"/>
    </row>
    <row r="833" spans="1:9" ht="14.45" customHeight="1">
      <c r="A833" s="35"/>
      <c r="B833" s="25">
        <v>14</v>
      </c>
      <c r="C833" s="26" t="str">
        <f>IF('Fee Receipt (Class-wise)'!C1493="", "", 'Fee Receipt (Class-wise)'!C1493)</f>
        <v/>
      </c>
      <c r="D833" s="25">
        <f>'Fee Receipt (Class-wise)'!K1493</f>
        <v>4160</v>
      </c>
      <c r="E833" s="23"/>
      <c r="F833" s="25">
        <v>44</v>
      </c>
      <c r="G833" s="26" t="str">
        <f>IF('Fee Receipt (Class-wise)'!C1523="", "", 'Fee Receipt (Class-wise)'!C1523)</f>
        <v/>
      </c>
      <c r="H833" s="25">
        <f>'Fee Receipt (Class-wise)'!K1523</f>
        <v>4160</v>
      </c>
      <c r="I833" s="23"/>
    </row>
    <row r="834" spans="1:9" ht="14.45" customHeight="1">
      <c r="A834" s="35"/>
      <c r="B834" s="25">
        <v>15</v>
      </c>
      <c r="C834" s="26" t="str">
        <f>IF('Fee Receipt (Class-wise)'!C1494="", "", 'Fee Receipt (Class-wise)'!C1494)</f>
        <v/>
      </c>
      <c r="D834" s="25">
        <f>'Fee Receipt (Class-wise)'!K1494</f>
        <v>4160</v>
      </c>
      <c r="E834" s="23"/>
      <c r="F834" s="25">
        <v>45</v>
      </c>
      <c r="G834" s="26" t="str">
        <f>IF('Fee Receipt (Class-wise)'!C1524="", "", 'Fee Receipt (Class-wise)'!C1524)</f>
        <v/>
      </c>
      <c r="H834" s="25">
        <f>'Fee Receipt (Class-wise)'!K1524</f>
        <v>4160</v>
      </c>
      <c r="I834" s="23"/>
    </row>
    <row r="835" spans="1:9" ht="14.45" customHeight="1">
      <c r="A835" s="35"/>
      <c r="B835" s="25">
        <v>16</v>
      </c>
      <c r="C835" s="26" t="str">
        <f>IF('Fee Receipt (Class-wise)'!C1495="", "", 'Fee Receipt (Class-wise)'!C1495)</f>
        <v/>
      </c>
      <c r="D835" s="25">
        <f>'Fee Receipt (Class-wise)'!K1495</f>
        <v>4160</v>
      </c>
      <c r="E835" s="23"/>
      <c r="F835" s="25">
        <v>46</v>
      </c>
      <c r="G835" s="26" t="str">
        <f>IF('Fee Receipt (Class-wise)'!C1525="", "", 'Fee Receipt (Class-wise)'!C1525)</f>
        <v/>
      </c>
      <c r="H835" s="25">
        <f>'Fee Receipt (Class-wise)'!K1525</f>
        <v>4160</v>
      </c>
      <c r="I835" s="23"/>
    </row>
    <row r="836" spans="1:9" ht="14.45" customHeight="1">
      <c r="A836" s="35"/>
      <c r="B836" s="25">
        <v>17</v>
      </c>
      <c r="C836" s="26" t="str">
        <f>IF('Fee Receipt (Class-wise)'!C1496="", "", 'Fee Receipt (Class-wise)'!C1496)</f>
        <v/>
      </c>
      <c r="D836" s="25">
        <f>'Fee Receipt (Class-wise)'!K1496</f>
        <v>4160</v>
      </c>
      <c r="E836" s="23"/>
      <c r="F836" s="25">
        <v>47</v>
      </c>
      <c r="G836" s="26" t="str">
        <f>IF('Fee Receipt (Class-wise)'!C1526="", "", 'Fee Receipt (Class-wise)'!C1526)</f>
        <v/>
      </c>
      <c r="H836" s="25">
        <f>'Fee Receipt (Class-wise)'!K1526</f>
        <v>4160</v>
      </c>
      <c r="I836" s="23"/>
    </row>
    <row r="837" spans="1:9" ht="14.45" customHeight="1">
      <c r="A837" s="35"/>
      <c r="B837" s="25">
        <v>18</v>
      </c>
      <c r="C837" s="26" t="str">
        <f>IF('Fee Receipt (Class-wise)'!C1497="", "", 'Fee Receipt (Class-wise)'!C1497)</f>
        <v/>
      </c>
      <c r="D837" s="25">
        <f>'Fee Receipt (Class-wise)'!K1497</f>
        <v>4160</v>
      </c>
      <c r="E837" s="23"/>
      <c r="F837" s="25">
        <v>48</v>
      </c>
      <c r="G837" s="26" t="str">
        <f>IF('Fee Receipt (Class-wise)'!C1527="", "", 'Fee Receipt (Class-wise)'!C1527)</f>
        <v/>
      </c>
      <c r="H837" s="25">
        <f>'Fee Receipt (Class-wise)'!K1527</f>
        <v>4160</v>
      </c>
      <c r="I837" s="23"/>
    </row>
    <row r="838" spans="1:9" ht="14.45" customHeight="1">
      <c r="A838" s="35"/>
      <c r="B838" s="25">
        <v>19</v>
      </c>
      <c r="C838" s="26" t="str">
        <f>IF('Fee Receipt (Class-wise)'!C1498="", "", 'Fee Receipt (Class-wise)'!C1498)</f>
        <v/>
      </c>
      <c r="D838" s="25">
        <f>'Fee Receipt (Class-wise)'!K1498</f>
        <v>4160</v>
      </c>
      <c r="E838" s="23"/>
      <c r="F838" s="25">
        <v>49</v>
      </c>
      <c r="G838" s="26" t="str">
        <f>IF('Fee Receipt (Class-wise)'!C1528="", "", 'Fee Receipt (Class-wise)'!C1528)</f>
        <v/>
      </c>
      <c r="H838" s="25">
        <f>'Fee Receipt (Class-wise)'!K1528</f>
        <v>4160</v>
      </c>
      <c r="I838" s="23"/>
    </row>
    <row r="839" spans="1:9" ht="14.45" customHeight="1">
      <c r="A839" s="35"/>
      <c r="B839" s="25">
        <v>20</v>
      </c>
      <c r="C839" s="26" t="str">
        <f>IF('Fee Receipt (Class-wise)'!C1499="", "", 'Fee Receipt (Class-wise)'!C1499)</f>
        <v/>
      </c>
      <c r="D839" s="25">
        <f>'Fee Receipt (Class-wise)'!K1499</f>
        <v>4160</v>
      </c>
      <c r="E839" s="23"/>
      <c r="F839" s="25">
        <v>50</v>
      </c>
      <c r="G839" s="26" t="str">
        <f>IF('Fee Receipt (Class-wise)'!C1529="", "", 'Fee Receipt (Class-wise)'!C1529)</f>
        <v/>
      </c>
      <c r="H839" s="25">
        <f>'Fee Receipt (Class-wise)'!K1529</f>
        <v>4160</v>
      </c>
      <c r="I839" s="23"/>
    </row>
    <row r="840" spans="1:9" ht="14.45" customHeight="1">
      <c r="A840" s="35"/>
      <c r="B840" s="25">
        <v>21</v>
      </c>
      <c r="C840" s="26" t="str">
        <f>IF('Fee Receipt (Class-wise)'!C1500="", "", 'Fee Receipt (Class-wise)'!C1500)</f>
        <v/>
      </c>
      <c r="D840" s="25">
        <f>'Fee Receipt (Class-wise)'!K1500</f>
        <v>4160</v>
      </c>
      <c r="E840" s="23"/>
      <c r="F840" s="25">
        <v>51</v>
      </c>
      <c r="G840" s="26" t="str">
        <f>IF('Fee Receipt (Class-wise)'!C1530="", "", 'Fee Receipt (Class-wise)'!C1530)</f>
        <v/>
      </c>
      <c r="H840" s="25">
        <f>'Fee Receipt (Class-wise)'!K1530</f>
        <v>4160</v>
      </c>
      <c r="I840" s="23"/>
    </row>
    <row r="841" spans="1:9" ht="14.45" customHeight="1">
      <c r="A841" s="35"/>
      <c r="B841" s="25">
        <v>22</v>
      </c>
      <c r="C841" s="26" t="str">
        <f>IF('Fee Receipt (Class-wise)'!C1501="", "", 'Fee Receipt (Class-wise)'!C1501)</f>
        <v/>
      </c>
      <c r="D841" s="25">
        <f>'Fee Receipt (Class-wise)'!K1501</f>
        <v>4160</v>
      </c>
      <c r="E841" s="23"/>
      <c r="F841" s="25">
        <v>52</v>
      </c>
      <c r="G841" s="26" t="str">
        <f>IF('Fee Receipt (Class-wise)'!C1531="", "", 'Fee Receipt (Class-wise)'!C1531)</f>
        <v/>
      </c>
      <c r="H841" s="25">
        <f>'Fee Receipt (Class-wise)'!K1531</f>
        <v>4160</v>
      </c>
      <c r="I841" s="23"/>
    </row>
    <row r="842" spans="1:9" ht="14.45" customHeight="1">
      <c r="A842" s="35"/>
      <c r="B842" s="25">
        <v>23</v>
      </c>
      <c r="C842" s="26" t="str">
        <f>IF('Fee Receipt (Class-wise)'!C1502="", "", 'Fee Receipt (Class-wise)'!C1502)</f>
        <v/>
      </c>
      <c r="D842" s="25">
        <f>'Fee Receipt (Class-wise)'!K1502</f>
        <v>4160</v>
      </c>
      <c r="E842" s="23"/>
      <c r="F842" s="25">
        <v>53</v>
      </c>
      <c r="G842" s="26" t="str">
        <f>IF('Fee Receipt (Class-wise)'!C1532="", "", 'Fee Receipt (Class-wise)'!C1532)</f>
        <v/>
      </c>
      <c r="H842" s="25">
        <f>'Fee Receipt (Class-wise)'!K1532</f>
        <v>4160</v>
      </c>
      <c r="I842" s="23"/>
    </row>
    <row r="843" spans="1:9" ht="14.45" customHeight="1">
      <c r="A843" s="35"/>
      <c r="B843" s="25">
        <v>24</v>
      </c>
      <c r="C843" s="26" t="str">
        <f>IF('Fee Receipt (Class-wise)'!C1503="", "", 'Fee Receipt (Class-wise)'!C1503)</f>
        <v/>
      </c>
      <c r="D843" s="25">
        <f>'Fee Receipt (Class-wise)'!K1503</f>
        <v>4160</v>
      </c>
      <c r="E843" s="23"/>
      <c r="F843" s="25">
        <v>54</v>
      </c>
      <c r="G843" s="26" t="str">
        <f>IF('Fee Receipt (Class-wise)'!C1533="", "", 'Fee Receipt (Class-wise)'!C1533)</f>
        <v/>
      </c>
      <c r="H843" s="25">
        <f>'Fee Receipt (Class-wise)'!K1533</f>
        <v>4160</v>
      </c>
      <c r="I843" s="23"/>
    </row>
    <row r="844" spans="1:9" ht="14.45" customHeight="1">
      <c r="A844" s="35"/>
      <c r="B844" s="25">
        <v>25</v>
      </c>
      <c r="C844" s="26" t="str">
        <f>IF('Fee Receipt (Class-wise)'!C1504="", "", 'Fee Receipt (Class-wise)'!C1504)</f>
        <v/>
      </c>
      <c r="D844" s="25">
        <f>'Fee Receipt (Class-wise)'!K1504</f>
        <v>4160</v>
      </c>
      <c r="E844" s="23"/>
      <c r="F844" s="25">
        <v>55</v>
      </c>
      <c r="G844" s="26" t="str">
        <f>IF('Fee Receipt (Class-wise)'!C1534="", "", 'Fee Receipt (Class-wise)'!C1534)</f>
        <v/>
      </c>
      <c r="H844" s="25">
        <f>'Fee Receipt (Class-wise)'!K1534</f>
        <v>4160</v>
      </c>
      <c r="I844" s="23"/>
    </row>
    <row r="845" spans="1:9" ht="14.45" customHeight="1">
      <c r="A845" s="35"/>
      <c r="B845" s="25">
        <v>26</v>
      </c>
      <c r="C845" s="26" t="str">
        <f>IF('Fee Receipt (Class-wise)'!C1505="", "", 'Fee Receipt (Class-wise)'!C1505)</f>
        <v/>
      </c>
      <c r="D845" s="25">
        <f>'Fee Receipt (Class-wise)'!K1505</f>
        <v>4160</v>
      </c>
      <c r="E845" s="23"/>
      <c r="F845" s="25">
        <v>56</v>
      </c>
      <c r="G845" s="26" t="str">
        <f>IF('Fee Receipt (Class-wise)'!C1535="", "", 'Fee Receipt (Class-wise)'!C1535)</f>
        <v/>
      </c>
      <c r="H845" s="25">
        <f>'Fee Receipt (Class-wise)'!K1535</f>
        <v>4160</v>
      </c>
      <c r="I845" s="23"/>
    </row>
    <row r="846" spans="1:9" ht="14.45" customHeight="1">
      <c r="A846" s="35"/>
      <c r="B846" s="25">
        <v>27</v>
      </c>
      <c r="C846" s="26" t="str">
        <f>IF('Fee Receipt (Class-wise)'!C1506="", "", 'Fee Receipt (Class-wise)'!C1506)</f>
        <v/>
      </c>
      <c r="D846" s="25">
        <f>'Fee Receipt (Class-wise)'!K1506</f>
        <v>4160</v>
      </c>
      <c r="E846" s="23"/>
      <c r="F846" s="25">
        <v>57</v>
      </c>
      <c r="G846" s="26" t="str">
        <f>IF('Fee Receipt (Class-wise)'!C1536="", "", 'Fee Receipt (Class-wise)'!C1536)</f>
        <v/>
      </c>
      <c r="H846" s="25">
        <f>'Fee Receipt (Class-wise)'!K1536</f>
        <v>4160</v>
      </c>
      <c r="I846" s="23"/>
    </row>
    <row r="847" spans="1:9" ht="14.45" customHeight="1">
      <c r="A847" s="35"/>
      <c r="B847" s="25">
        <v>28</v>
      </c>
      <c r="C847" s="26" t="str">
        <f>IF('Fee Receipt (Class-wise)'!C1507="", "", 'Fee Receipt (Class-wise)'!C1507)</f>
        <v/>
      </c>
      <c r="D847" s="25">
        <f>'Fee Receipt (Class-wise)'!K1507</f>
        <v>4160</v>
      </c>
      <c r="E847" s="23"/>
      <c r="F847" s="25">
        <v>58</v>
      </c>
      <c r="G847" s="26" t="str">
        <f>IF('Fee Receipt (Class-wise)'!C1537="", "", 'Fee Receipt (Class-wise)'!C1537)</f>
        <v/>
      </c>
      <c r="H847" s="25">
        <f>'Fee Receipt (Class-wise)'!K1537</f>
        <v>4160</v>
      </c>
      <c r="I847" s="23"/>
    </row>
    <row r="848" spans="1:9" ht="14.45" customHeight="1">
      <c r="A848" s="35"/>
      <c r="B848" s="25">
        <v>29</v>
      </c>
      <c r="C848" s="26" t="str">
        <f>IF('Fee Receipt (Class-wise)'!C1508="", "", 'Fee Receipt (Class-wise)'!C1508)</f>
        <v/>
      </c>
      <c r="D848" s="25">
        <f>'Fee Receipt (Class-wise)'!K1508</f>
        <v>4160</v>
      </c>
      <c r="E848" s="23"/>
      <c r="F848" s="25">
        <v>59</v>
      </c>
      <c r="G848" s="26" t="str">
        <f>IF('Fee Receipt (Class-wise)'!C1538="", "", 'Fee Receipt (Class-wise)'!C1538)</f>
        <v/>
      </c>
      <c r="H848" s="25">
        <f>'Fee Receipt (Class-wise)'!K1538</f>
        <v>4160</v>
      </c>
      <c r="I848" s="23"/>
    </row>
    <row r="849" spans="1:9" ht="14.45" customHeight="1">
      <c r="A849" s="35"/>
      <c r="B849" s="25">
        <v>30</v>
      </c>
      <c r="C849" s="26" t="str">
        <f>IF('Fee Receipt (Class-wise)'!C1509="", "", 'Fee Receipt (Class-wise)'!C1509)</f>
        <v/>
      </c>
      <c r="D849" s="25">
        <f>'Fee Receipt (Class-wise)'!K1509</f>
        <v>4160</v>
      </c>
      <c r="E849" s="23"/>
      <c r="F849" s="25">
        <v>60</v>
      </c>
      <c r="G849" s="26" t="str">
        <f>IF('Fee Receipt (Class-wise)'!C1539="", "", 'Fee Receipt (Class-wise)'!C1539)</f>
        <v/>
      </c>
      <c r="H849" s="25">
        <f>'Fee Receipt (Class-wise)'!K1539</f>
        <v>4160</v>
      </c>
      <c r="I849" s="23"/>
    </row>
    <row r="850" spans="1:9" ht="14.45" customHeight="1">
      <c r="A850" s="35"/>
      <c r="B850" s="25"/>
      <c r="C850" s="23"/>
      <c r="D850" s="23"/>
      <c r="E850" s="23"/>
      <c r="F850" s="33" t="s">
        <v>31</v>
      </c>
      <c r="G850" s="33"/>
      <c r="H850" s="24">
        <f>SUM(D820:D849)+SUM(H820:H849)</f>
        <v>249600</v>
      </c>
      <c r="I850" s="23"/>
    </row>
    <row r="851" spans="1:9" ht="14.45" customHeight="1">
      <c r="B851" s="23"/>
      <c r="C851" s="23"/>
      <c r="D851" s="23"/>
      <c r="E851" s="23"/>
      <c r="F851" s="23"/>
      <c r="G851" s="23"/>
      <c r="H851" s="23"/>
      <c r="I851" s="23"/>
    </row>
    <row r="852" spans="1:9" ht="14.45" customHeight="1">
      <c r="B852" s="23"/>
      <c r="C852" s="23"/>
      <c r="D852" s="23"/>
      <c r="E852" s="23"/>
      <c r="F852" s="23"/>
      <c r="G852" s="23"/>
      <c r="H852" s="23"/>
      <c r="I852" s="23"/>
    </row>
    <row r="853" spans="1:9" ht="14.45" customHeight="1">
      <c r="A853" s="49">
        <v>24</v>
      </c>
      <c r="B853" s="35" t="s">
        <v>33</v>
      </c>
      <c r="C853" s="35"/>
      <c r="D853" s="35"/>
      <c r="E853" s="35"/>
      <c r="F853" s="35"/>
      <c r="G853" s="35"/>
      <c r="H853" s="24" t="s">
        <v>36</v>
      </c>
      <c r="I853" s="23"/>
    </row>
    <row r="854" spans="1:9" ht="14.45" customHeight="1">
      <c r="A854" s="49"/>
      <c r="B854" s="23" t="s">
        <v>35</v>
      </c>
      <c r="C854" s="50" t="str">
        <f>IF('Fee Receipt (Class-wise)'!C1544="", "", 'Fee Receipt (Class-wise)'!C1544)</f>
        <v/>
      </c>
      <c r="D854" s="50"/>
      <c r="E854" s="23"/>
      <c r="F854" s="23"/>
      <c r="G854" s="23"/>
      <c r="H854" s="49" t="str">
        <f>IF(C854="", "", H887)</f>
        <v/>
      </c>
      <c r="I854" s="23"/>
    </row>
    <row r="855" spans="1:9" ht="14.45" customHeight="1">
      <c r="A855" s="49"/>
      <c r="B855" s="23" t="s">
        <v>34</v>
      </c>
      <c r="C855" s="50" t="str">
        <f>IF(C854="", "", 'Fee Receipt (Class-wise)'!$H$2)</f>
        <v/>
      </c>
      <c r="D855" s="50"/>
      <c r="E855" s="23"/>
      <c r="F855" s="23"/>
      <c r="G855" s="23"/>
      <c r="H855" s="49"/>
      <c r="I855" s="23"/>
    </row>
    <row r="856" spans="1:9" ht="14.45" customHeight="1">
      <c r="A856" s="35"/>
      <c r="B856" s="25" t="s">
        <v>1</v>
      </c>
      <c r="C856" s="25" t="s">
        <v>2</v>
      </c>
      <c r="D856" s="25" t="s">
        <v>9</v>
      </c>
      <c r="E856" s="23"/>
      <c r="F856" s="25" t="s">
        <v>1</v>
      </c>
      <c r="G856" s="25" t="s">
        <v>2</v>
      </c>
      <c r="H856" s="25" t="s">
        <v>9</v>
      </c>
      <c r="I856" s="23"/>
    </row>
    <row r="857" spans="1:9" ht="14.45" customHeight="1">
      <c r="A857" s="35"/>
      <c r="B857" s="25">
        <v>1</v>
      </c>
      <c r="C857" s="26" t="str">
        <f>IF('Fee Receipt (Class-wise)'!C1547="", "", 'Fee Receipt (Class-wise)'!C1547)</f>
        <v/>
      </c>
      <c r="D857" s="25" t="str">
        <f>'Fee Receipt (Class-wise)'!K1547</f>
        <v/>
      </c>
      <c r="E857" s="23"/>
      <c r="F857" s="25">
        <v>31</v>
      </c>
      <c r="G857" s="26" t="str">
        <f>IF('Fee Receipt (Class-wise)'!C1577="", "", 'Fee Receipt (Class-wise)'!C1577)</f>
        <v/>
      </c>
      <c r="H857" s="25" t="str">
        <f>'Fee Receipt (Class-wise)'!K1577</f>
        <v/>
      </c>
      <c r="I857" s="23"/>
    </row>
    <row r="858" spans="1:9" ht="14.45" customHeight="1">
      <c r="A858" s="35"/>
      <c r="B858" s="25">
        <v>2</v>
      </c>
      <c r="C858" s="26" t="str">
        <f>IF('Fee Receipt (Class-wise)'!C1548="", "", 'Fee Receipt (Class-wise)'!C1548)</f>
        <v/>
      </c>
      <c r="D858" s="25" t="str">
        <f>'Fee Receipt (Class-wise)'!K1548</f>
        <v/>
      </c>
      <c r="E858" s="23"/>
      <c r="F858" s="25">
        <v>32</v>
      </c>
      <c r="G858" s="26" t="str">
        <f>IF('Fee Receipt (Class-wise)'!C1578="", "", 'Fee Receipt (Class-wise)'!C1578)</f>
        <v/>
      </c>
      <c r="H858" s="25" t="str">
        <f>'Fee Receipt (Class-wise)'!K1578</f>
        <v/>
      </c>
      <c r="I858" s="23"/>
    </row>
    <row r="859" spans="1:9" ht="14.45" customHeight="1">
      <c r="A859" s="35"/>
      <c r="B859" s="25">
        <v>3</v>
      </c>
      <c r="C859" s="26" t="str">
        <f>IF('Fee Receipt (Class-wise)'!C1549="", "", 'Fee Receipt (Class-wise)'!C1549)</f>
        <v/>
      </c>
      <c r="D859" s="25" t="str">
        <f>'Fee Receipt (Class-wise)'!K1549</f>
        <v/>
      </c>
      <c r="E859" s="23"/>
      <c r="F859" s="25">
        <v>33</v>
      </c>
      <c r="G859" s="26" t="str">
        <f>IF('Fee Receipt (Class-wise)'!C1579="", "", 'Fee Receipt (Class-wise)'!C1579)</f>
        <v/>
      </c>
      <c r="H859" s="25" t="str">
        <f>'Fee Receipt (Class-wise)'!K1579</f>
        <v/>
      </c>
      <c r="I859" s="23"/>
    </row>
    <row r="860" spans="1:9" ht="14.45" customHeight="1">
      <c r="A860" s="35"/>
      <c r="B860" s="25">
        <v>4</v>
      </c>
      <c r="C860" s="26" t="str">
        <f>IF('Fee Receipt (Class-wise)'!C1550="", "", 'Fee Receipt (Class-wise)'!C1550)</f>
        <v/>
      </c>
      <c r="D860" s="25" t="str">
        <f>'Fee Receipt (Class-wise)'!K1550</f>
        <v/>
      </c>
      <c r="E860" s="23"/>
      <c r="F860" s="25">
        <v>34</v>
      </c>
      <c r="G860" s="26" t="str">
        <f>IF('Fee Receipt (Class-wise)'!C1580="", "", 'Fee Receipt (Class-wise)'!C1580)</f>
        <v/>
      </c>
      <c r="H860" s="25" t="str">
        <f>'Fee Receipt (Class-wise)'!K1580</f>
        <v/>
      </c>
      <c r="I860" s="23"/>
    </row>
    <row r="861" spans="1:9" ht="14.45" customHeight="1">
      <c r="A861" s="35"/>
      <c r="B861" s="25">
        <v>5</v>
      </c>
      <c r="C861" s="26" t="str">
        <f>IF('Fee Receipt (Class-wise)'!C1551="", "", 'Fee Receipt (Class-wise)'!C1551)</f>
        <v/>
      </c>
      <c r="D861" s="25" t="str">
        <f>'Fee Receipt (Class-wise)'!K1551</f>
        <v/>
      </c>
      <c r="E861" s="23"/>
      <c r="F861" s="25">
        <v>35</v>
      </c>
      <c r="G861" s="26" t="str">
        <f>IF('Fee Receipt (Class-wise)'!C1581="", "", 'Fee Receipt (Class-wise)'!C1581)</f>
        <v/>
      </c>
      <c r="H861" s="25" t="str">
        <f>'Fee Receipt (Class-wise)'!K1581</f>
        <v/>
      </c>
      <c r="I861" s="23"/>
    </row>
    <row r="862" spans="1:9" ht="14.45" customHeight="1">
      <c r="A862" s="35"/>
      <c r="B862" s="25">
        <v>6</v>
      </c>
      <c r="C862" s="26" t="str">
        <f>IF('Fee Receipt (Class-wise)'!C1552="", "", 'Fee Receipt (Class-wise)'!C1552)</f>
        <v/>
      </c>
      <c r="D862" s="25" t="str">
        <f>'Fee Receipt (Class-wise)'!K1552</f>
        <v/>
      </c>
      <c r="E862" s="23"/>
      <c r="F862" s="25">
        <v>36</v>
      </c>
      <c r="G862" s="26" t="str">
        <f>IF('Fee Receipt (Class-wise)'!C1582="", "", 'Fee Receipt (Class-wise)'!C1582)</f>
        <v/>
      </c>
      <c r="H862" s="25" t="str">
        <f>'Fee Receipt (Class-wise)'!K1582</f>
        <v/>
      </c>
      <c r="I862" s="23"/>
    </row>
    <row r="863" spans="1:9" ht="14.45" customHeight="1">
      <c r="A863" s="35"/>
      <c r="B863" s="25">
        <v>7</v>
      </c>
      <c r="C863" s="26" t="str">
        <f>IF('Fee Receipt (Class-wise)'!C1553="", "", 'Fee Receipt (Class-wise)'!C1553)</f>
        <v/>
      </c>
      <c r="D863" s="25" t="str">
        <f>'Fee Receipt (Class-wise)'!K1553</f>
        <v/>
      </c>
      <c r="E863" s="23"/>
      <c r="F863" s="25">
        <v>37</v>
      </c>
      <c r="G863" s="26" t="str">
        <f>IF('Fee Receipt (Class-wise)'!C1583="", "", 'Fee Receipt (Class-wise)'!C1583)</f>
        <v/>
      </c>
      <c r="H863" s="25" t="str">
        <f>'Fee Receipt (Class-wise)'!K1583</f>
        <v/>
      </c>
      <c r="I863" s="23"/>
    </row>
    <row r="864" spans="1:9" ht="14.45" customHeight="1">
      <c r="A864" s="35"/>
      <c r="B864" s="25">
        <v>8</v>
      </c>
      <c r="C864" s="26" t="str">
        <f>IF('Fee Receipt (Class-wise)'!C1554="", "", 'Fee Receipt (Class-wise)'!C1554)</f>
        <v/>
      </c>
      <c r="D864" s="25" t="str">
        <f>'Fee Receipt (Class-wise)'!K1554</f>
        <v/>
      </c>
      <c r="E864" s="23"/>
      <c r="F864" s="25">
        <v>38</v>
      </c>
      <c r="G864" s="26" t="str">
        <f>IF('Fee Receipt (Class-wise)'!C1584="", "", 'Fee Receipt (Class-wise)'!C1584)</f>
        <v/>
      </c>
      <c r="H864" s="25" t="str">
        <f>'Fee Receipt (Class-wise)'!K1584</f>
        <v/>
      </c>
      <c r="I864" s="23"/>
    </row>
    <row r="865" spans="1:9" ht="14.45" customHeight="1">
      <c r="A865" s="35"/>
      <c r="B865" s="25">
        <v>9</v>
      </c>
      <c r="C865" s="26" t="str">
        <f>IF('Fee Receipt (Class-wise)'!C1555="", "", 'Fee Receipt (Class-wise)'!C1555)</f>
        <v/>
      </c>
      <c r="D865" s="25" t="str">
        <f>'Fee Receipt (Class-wise)'!K1555</f>
        <v/>
      </c>
      <c r="E865" s="23"/>
      <c r="F865" s="25">
        <v>39</v>
      </c>
      <c r="G865" s="26" t="str">
        <f>IF('Fee Receipt (Class-wise)'!C1585="", "", 'Fee Receipt (Class-wise)'!C1585)</f>
        <v/>
      </c>
      <c r="H865" s="25" t="str">
        <f>'Fee Receipt (Class-wise)'!K1585</f>
        <v/>
      </c>
      <c r="I865" s="23"/>
    </row>
    <row r="866" spans="1:9" ht="14.45" customHeight="1">
      <c r="A866" s="35"/>
      <c r="B866" s="25">
        <v>10</v>
      </c>
      <c r="C866" s="26" t="str">
        <f>IF('Fee Receipt (Class-wise)'!C1556="", "", 'Fee Receipt (Class-wise)'!C1556)</f>
        <v/>
      </c>
      <c r="D866" s="25" t="str">
        <f>'Fee Receipt (Class-wise)'!K1556</f>
        <v/>
      </c>
      <c r="E866" s="23"/>
      <c r="F866" s="25">
        <v>40</v>
      </c>
      <c r="G866" s="26" t="str">
        <f>IF('Fee Receipt (Class-wise)'!C1586="", "", 'Fee Receipt (Class-wise)'!C1586)</f>
        <v/>
      </c>
      <c r="H866" s="25" t="str">
        <f>'Fee Receipt (Class-wise)'!K1586</f>
        <v/>
      </c>
      <c r="I866" s="23"/>
    </row>
    <row r="867" spans="1:9" ht="14.45" customHeight="1">
      <c r="A867" s="35"/>
      <c r="B867" s="25">
        <v>11</v>
      </c>
      <c r="C867" s="26" t="str">
        <f>IF('Fee Receipt (Class-wise)'!C1557="", "", 'Fee Receipt (Class-wise)'!C1557)</f>
        <v/>
      </c>
      <c r="D867" s="25" t="str">
        <f>'Fee Receipt (Class-wise)'!K1557</f>
        <v/>
      </c>
      <c r="E867" s="23"/>
      <c r="F867" s="25">
        <v>41</v>
      </c>
      <c r="G867" s="26" t="str">
        <f>IF('Fee Receipt (Class-wise)'!C1587="", "", 'Fee Receipt (Class-wise)'!C1587)</f>
        <v/>
      </c>
      <c r="H867" s="25" t="str">
        <f>'Fee Receipt (Class-wise)'!K1587</f>
        <v/>
      </c>
      <c r="I867" s="23"/>
    </row>
    <row r="868" spans="1:9" ht="14.45" customHeight="1">
      <c r="A868" s="35"/>
      <c r="B868" s="25">
        <v>12</v>
      </c>
      <c r="C868" s="26" t="str">
        <f>IF('Fee Receipt (Class-wise)'!C1558="", "", 'Fee Receipt (Class-wise)'!C1558)</f>
        <v/>
      </c>
      <c r="D868" s="25" t="str">
        <f>'Fee Receipt (Class-wise)'!K1558</f>
        <v/>
      </c>
      <c r="E868" s="23"/>
      <c r="F868" s="25">
        <v>42</v>
      </c>
      <c r="G868" s="26" t="str">
        <f>IF('Fee Receipt (Class-wise)'!C1588="", "", 'Fee Receipt (Class-wise)'!C1588)</f>
        <v/>
      </c>
      <c r="H868" s="25" t="str">
        <f>'Fee Receipt (Class-wise)'!K1588</f>
        <v/>
      </c>
      <c r="I868" s="23"/>
    </row>
    <row r="869" spans="1:9" ht="14.45" customHeight="1">
      <c r="A869" s="35"/>
      <c r="B869" s="25">
        <v>13</v>
      </c>
      <c r="C869" s="26" t="str">
        <f>IF('Fee Receipt (Class-wise)'!C1559="", "", 'Fee Receipt (Class-wise)'!C1559)</f>
        <v/>
      </c>
      <c r="D869" s="25" t="str">
        <f>'Fee Receipt (Class-wise)'!K1559</f>
        <v/>
      </c>
      <c r="E869" s="23"/>
      <c r="F869" s="25">
        <v>43</v>
      </c>
      <c r="G869" s="26" t="str">
        <f>IF('Fee Receipt (Class-wise)'!C1589="", "", 'Fee Receipt (Class-wise)'!C1589)</f>
        <v/>
      </c>
      <c r="H869" s="25" t="str">
        <f>'Fee Receipt (Class-wise)'!K1589</f>
        <v/>
      </c>
      <c r="I869" s="23"/>
    </row>
    <row r="870" spans="1:9" ht="14.45" customHeight="1">
      <c r="A870" s="35"/>
      <c r="B870" s="25">
        <v>14</v>
      </c>
      <c r="C870" s="26" t="str">
        <f>IF('Fee Receipt (Class-wise)'!C1560="", "", 'Fee Receipt (Class-wise)'!C1560)</f>
        <v/>
      </c>
      <c r="D870" s="25" t="str">
        <f>'Fee Receipt (Class-wise)'!K1560</f>
        <v/>
      </c>
      <c r="E870" s="23"/>
      <c r="F870" s="25">
        <v>44</v>
      </c>
      <c r="G870" s="26" t="str">
        <f>IF('Fee Receipt (Class-wise)'!C1590="", "", 'Fee Receipt (Class-wise)'!C1590)</f>
        <v/>
      </c>
      <c r="H870" s="25" t="str">
        <f>'Fee Receipt (Class-wise)'!K1590</f>
        <v/>
      </c>
      <c r="I870" s="23"/>
    </row>
    <row r="871" spans="1:9" ht="14.45" customHeight="1">
      <c r="A871" s="35"/>
      <c r="B871" s="25">
        <v>15</v>
      </c>
      <c r="C871" s="26" t="str">
        <f>IF('Fee Receipt (Class-wise)'!C1561="", "", 'Fee Receipt (Class-wise)'!C1561)</f>
        <v/>
      </c>
      <c r="D871" s="25" t="str">
        <f>'Fee Receipt (Class-wise)'!K1561</f>
        <v/>
      </c>
      <c r="E871" s="23"/>
      <c r="F871" s="25">
        <v>45</v>
      </c>
      <c r="G871" s="26" t="str">
        <f>IF('Fee Receipt (Class-wise)'!C1591="", "", 'Fee Receipt (Class-wise)'!C1591)</f>
        <v/>
      </c>
      <c r="H871" s="25" t="str">
        <f>'Fee Receipt (Class-wise)'!K1591</f>
        <v/>
      </c>
      <c r="I871" s="23"/>
    </row>
    <row r="872" spans="1:9" ht="14.45" customHeight="1">
      <c r="A872" s="35"/>
      <c r="B872" s="25">
        <v>16</v>
      </c>
      <c r="C872" s="26" t="str">
        <f>IF('Fee Receipt (Class-wise)'!C1562="", "", 'Fee Receipt (Class-wise)'!C1562)</f>
        <v/>
      </c>
      <c r="D872" s="25" t="str">
        <f>'Fee Receipt (Class-wise)'!K1562</f>
        <v/>
      </c>
      <c r="E872" s="23"/>
      <c r="F872" s="25">
        <v>46</v>
      </c>
      <c r="G872" s="26" t="str">
        <f>IF('Fee Receipt (Class-wise)'!C1592="", "", 'Fee Receipt (Class-wise)'!C1592)</f>
        <v/>
      </c>
      <c r="H872" s="25" t="str">
        <f>'Fee Receipt (Class-wise)'!K1592</f>
        <v/>
      </c>
      <c r="I872" s="23"/>
    </row>
    <row r="873" spans="1:9" ht="14.45" customHeight="1">
      <c r="A873" s="35"/>
      <c r="B873" s="25">
        <v>17</v>
      </c>
      <c r="C873" s="26" t="str">
        <f>IF('Fee Receipt (Class-wise)'!C1563="", "", 'Fee Receipt (Class-wise)'!C1563)</f>
        <v/>
      </c>
      <c r="D873" s="25" t="str">
        <f>'Fee Receipt (Class-wise)'!K1563</f>
        <v/>
      </c>
      <c r="E873" s="23"/>
      <c r="F873" s="25">
        <v>47</v>
      </c>
      <c r="G873" s="26" t="str">
        <f>IF('Fee Receipt (Class-wise)'!C1593="", "", 'Fee Receipt (Class-wise)'!C1593)</f>
        <v/>
      </c>
      <c r="H873" s="25" t="str">
        <f>'Fee Receipt (Class-wise)'!K1593</f>
        <v/>
      </c>
      <c r="I873" s="23"/>
    </row>
    <row r="874" spans="1:9" ht="14.45" customHeight="1">
      <c r="A874" s="35"/>
      <c r="B874" s="25">
        <v>18</v>
      </c>
      <c r="C874" s="26" t="str">
        <f>IF('Fee Receipt (Class-wise)'!C1564="", "", 'Fee Receipt (Class-wise)'!C1564)</f>
        <v/>
      </c>
      <c r="D874" s="25" t="str">
        <f>'Fee Receipt (Class-wise)'!K1564</f>
        <v/>
      </c>
      <c r="E874" s="23"/>
      <c r="F874" s="25">
        <v>48</v>
      </c>
      <c r="G874" s="26" t="str">
        <f>IF('Fee Receipt (Class-wise)'!C1594="", "", 'Fee Receipt (Class-wise)'!C1594)</f>
        <v/>
      </c>
      <c r="H874" s="25" t="str">
        <f>'Fee Receipt (Class-wise)'!K1594</f>
        <v/>
      </c>
      <c r="I874" s="23"/>
    </row>
    <row r="875" spans="1:9" ht="14.45" customHeight="1">
      <c r="A875" s="35"/>
      <c r="B875" s="25">
        <v>19</v>
      </c>
      <c r="C875" s="26" t="str">
        <f>IF('Fee Receipt (Class-wise)'!C1565="", "", 'Fee Receipt (Class-wise)'!C1565)</f>
        <v/>
      </c>
      <c r="D875" s="25" t="str">
        <f>'Fee Receipt (Class-wise)'!K1565</f>
        <v/>
      </c>
      <c r="E875" s="23"/>
      <c r="F875" s="25">
        <v>49</v>
      </c>
      <c r="G875" s="26" t="str">
        <f>IF('Fee Receipt (Class-wise)'!C1595="", "", 'Fee Receipt (Class-wise)'!C1595)</f>
        <v/>
      </c>
      <c r="H875" s="25" t="str">
        <f>'Fee Receipt (Class-wise)'!K1595</f>
        <v/>
      </c>
      <c r="I875" s="23"/>
    </row>
    <row r="876" spans="1:9" ht="14.45" customHeight="1">
      <c r="A876" s="35"/>
      <c r="B876" s="25">
        <v>20</v>
      </c>
      <c r="C876" s="26" t="str">
        <f>IF('Fee Receipt (Class-wise)'!C1566="", "", 'Fee Receipt (Class-wise)'!C1566)</f>
        <v/>
      </c>
      <c r="D876" s="25" t="str">
        <f>'Fee Receipt (Class-wise)'!K1566</f>
        <v/>
      </c>
      <c r="E876" s="23"/>
      <c r="F876" s="25">
        <v>50</v>
      </c>
      <c r="G876" s="26" t="str">
        <f>IF('Fee Receipt (Class-wise)'!C1596="", "", 'Fee Receipt (Class-wise)'!C1596)</f>
        <v/>
      </c>
      <c r="H876" s="25" t="str">
        <f>'Fee Receipt (Class-wise)'!K1596</f>
        <v/>
      </c>
      <c r="I876" s="23"/>
    </row>
    <row r="877" spans="1:9" ht="14.45" customHeight="1">
      <c r="A877" s="35"/>
      <c r="B877" s="25">
        <v>21</v>
      </c>
      <c r="C877" s="26" t="str">
        <f>IF('Fee Receipt (Class-wise)'!C1567="", "", 'Fee Receipt (Class-wise)'!C1567)</f>
        <v/>
      </c>
      <c r="D877" s="25" t="str">
        <f>'Fee Receipt (Class-wise)'!K1567</f>
        <v/>
      </c>
      <c r="E877" s="23"/>
      <c r="F877" s="25">
        <v>51</v>
      </c>
      <c r="G877" s="26" t="str">
        <f>IF('Fee Receipt (Class-wise)'!C1597="", "", 'Fee Receipt (Class-wise)'!C1597)</f>
        <v/>
      </c>
      <c r="H877" s="25" t="str">
        <f>'Fee Receipt (Class-wise)'!K1597</f>
        <v/>
      </c>
      <c r="I877" s="23"/>
    </row>
    <row r="878" spans="1:9" ht="14.45" customHeight="1">
      <c r="A878" s="35"/>
      <c r="B878" s="25">
        <v>22</v>
      </c>
      <c r="C878" s="26" t="str">
        <f>IF('Fee Receipt (Class-wise)'!C1568="", "", 'Fee Receipt (Class-wise)'!C1568)</f>
        <v/>
      </c>
      <c r="D878" s="25" t="str">
        <f>'Fee Receipt (Class-wise)'!K1568</f>
        <v/>
      </c>
      <c r="E878" s="23"/>
      <c r="F878" s="25">
        <v>52</v>
      </c>
      <c r="G878" s="26" t="str">
        <f>IF('Fee Receipt (Class-wise)'!C1598="", "", 'Fee Receipt (Class-wise)'!C1598)</f>
        <v/>
      </c>
      <c r="H878" s="25" t="str">
        <f>'Fee Receipt (Class-wise)'!K1598</f>
        <v/>
      </c>
      <c r="I878" s="23"/>
    </row>
    <row r="879" spans="1:9" ht="14.45" customHeight="1">
      <c r="A879" s="35"/>
      <c r="B879" s="25">
        <v>23</v>
      </c>
      <c r="C879" s="26" t="str">
        <f>IF('Fee Receipt (Class-wise)'!C1569="", "", 'Fee Receipt (Class-wise)'!C1569)</f>
        <v/>
      </c>
      <c r="D879" s="25" t="str">
        <f>'Fee Receipt (Class-wise)'!K1569</f>
        <v/>
      </c>
      <c r="E879" s="23"/>
      <c r="F879" s="25">
        <v>53</v>
      </c>
      <c r="G879" s="26" t="str">
        <f>IF('Fee Receipt (Class-wise)'!C1599="", "", 'Fee Receipt (Class-wise)'!C1599)</f>
        <v/>
      </c>
      <c r="H879" s="25" t="str">
        <f>'Fee Receipt (Class-wise)'!K1599</f>
        <v/>
      </c>
      <c r="I879" s="23"/>
    </row>
    <row r="880" spans="1:9" ht="14.45" customHeight="1">
      <c r="A880" s="35"/>
      <c r="B880" s="25">
        <v>24</v>
      </c>
      <c r="C880" s="26" t="str">
        <f>IF('Fee Receipt (Class-wise)'!C1570="", "", 'Fee Receipt (Class-wise)'!C1570)</f>
        <v/>
      </c>
      <c r="D880" s="25" t="str">
        <f>'Fee Receipt (Class-wise)'!K1570</f>
        <v/>
      </c>
      <c r="E880" s="23"/>
      <c r="F880" s="25">
        <v>54</v>
      </c>
      <c r="G880" s="26" t="str">
        <f>IF('Fee Receipt (Class-wise)'!C1600="", "", 'Fee Receipt (Class-wise)'!C1600)</f>
        <v/>
      </c>
      <c r="H880" s="25" t="str">
        <f>'Fee Receipt (Class-wise)'!K1600</f>
        <v/>
      </c>
      <c r="I880" s="23"/>
    </row>
    <row r="881" spans="1:9" ht="14.45" customHeight="1">
      <c r="A881" s="35"/>
      <c r="B881" s="25">
        <v>25</v>
      </c>
      <c r="C881" s="26" t="str">
        <f>IF('Fee Receipt (Class-wise)'!C1571="", "", 'Fee Receipt (Class-wise)'!C1571)</f>
        <v/>
      </c>
      <c r="D881" s="25" t="str">
        <f>'Fee Receipt (Class-wise)'!K1571</f>
        <v/>
      </c>
      <c r="E881" s="23"/>
      <c r="F881" s="25">
        <v>55</v>
      </c>
      <c r="G881" s="26" t="str">
        <f>IF('Fee Receipt (Class-wise)'!C1601="", "", 'Fee Receipt (Class-wise)'!C1601)</f>
        <v/>
      </c>
      <c r="H881" s="25" t="str">
        <f>'Fee Receipt (Class-wise)'!K1601</f>
        <v/>
      </c>
      <c r="I881" s="23"/>
    </row>
    <row r="882" spans="1:9" ht="14.45" customHeight="1">
      <c r="A882" s="35"/>
      <c r="B882" s="25">
        <v>26</v>
      </c>
      <c r="C882" s="26" t="str">
        <f>IF('Fee Receipt (Class-wise)'!C1572="", "", 'Fee Receipt (Class-wise)'!C1572)</f>
        <v/>
      </c>
      <c r="D882" s="25" t="str">
        <f>'Fee Receipt (Class-wise)'!K1572</f>
        <v/>
      </c>
      <c r="E882" s="23"/>
      <c r="F882" s="25">
        <v>56</v>
      </c>
      <c r="G882" s="26" t="str">
        <f>IF('Fee Receipt (Class-wise)'!C1602="", "", 'Fee Receipt (Class-wise)'!C1602)</f>
        <v/>
      </c>
      <c r="H882" s="25" t="str">
        <f>'Fee Receipt (Class-wise)'!K1602</f>
        <v/>
      </c>
      <c r="I882" s="23"/>
    </row>
    <row r="883" spans="1:9" ht="14.45" customHeight="1">
      <c r="A883" s="35"/>
      <c r="B883" s="25">
        <v>27</v>
      </c>
      <c r="C883" s="26" t="str">
        <f>IF('Fee Receipt (Class-wise)'!C1573="", "", 'Fee Receipt (Class-wise)'!C1573)</f>
        <v/>
      </c>
      <c r="D883" s="25" t="str">
        <f>'Fee Receipt (Class-wise)'!K1573</f>
        <v/>
      </c>
      <c r="E883" s="23"/>
      <c r="F883" s="25">
        <v>57</v>
      </c>
      <c r="G883" s="26" t="str">
        <f>IF('Fee Receipt (Class-wise)'!C1603="", "", 'Fee Receipt (Class-wise)'!C1603)</f>
        <v/>
      </c>
      <c r="H883" s="25" t="str">
        <f>'Fee Receipt (Class-wise)'!K1603</f>
        <v/>
      </c>
      <c r="I883" s="23"/>
    </row>
    <row r="884" spans="1:9" ht="14.45" customHeight="1">
      <c r="A884" s="35"/>
      <c r="B884" s="25">
        <v>28</v>
      </c>
      <c r="C884" s="26" t="str">
        <f>IF('Fee Receipt (Class-wise)'!C1574="", "", 'Fee Receipt (Class-wise)'!C1574)</f>
        <v/>
      </c>
      <c r="D884" s="25" t="str">
        <f>'Fee Receipt (Class-wise)'!K1574</f>
        <v/>
      </c>
      <c r="E884" s="23"/>
      <c r="F884" s="25">
        <v>58</v>
      </c>
      <c r="G884" s="26" t="str">
        <f>IF('Fee Receipt (Class-wise)'!C1604="", "", 'Fee Receipt (Class-wise)'!C1604)</f>
        <v/>
      </c>
      <c r="H884" s="25" t="str">
        <f>'Fee Receipt (Class-wise)'!K1604</f>
        <v/>
      </c>
      <c r="I884" s="23"/>
    </row>
    <row r="885" spans="1:9" ht="14.45" customHeight="1">
      <c r="A885" s="35"/>
      <c r="B885" s="25">
        <v>29</v>
      </c>
      <c r="C885" s="26" t="str">
        <f>IF('Fee Receipt (Class-wise)'!C1575="", "", 'Fee Receipt (Class-wise)'!C1575)</f>
        <v/>
      </c>
      <c r="D885" s="25" t="str">
        <f>'Fee Receipt (Class-wise)'!K1575</f>
        <v/>
      </c>
      <c r="E885" s="23"/>
      <c r="F885" s="25">
        <v>59</v>
      </c>
      <c r="G885" s="26" t="str">
        <f>IF('Fee Receipt (Class-wise)'!C1605="", "", 'Fee Receipt (Class-wise)'!C1605)</f>
        <v/>
      </c>
      <c r="H885" s="25" t="str">
        <f>'Fee Receipt (Class-wise)'!K1605</f>
        <v/>
      </c>
      <c r="I885" s="23"/>
    </row>
    <row r="886" spans="1:9" ht="14.45" customHeight="1">
      <c r="A886" s="35"/>
      <c r="B886" s="25">
        <v>30</v>
      </c>
      <c r="C886" s="26" t="str">
        <f>IF('Fee Receipt (Class-wise)'!C1576="", "", 'Fee Receipt (Class-wise)'!C1576)</f>
        <v/>
      </c>
      <c r="D886" s="25" t="str">
        <f>'Fee Receipt (Class-wise)'!K1576</f>
        <v/>
      </c>
      <c r="E886" s="23"/>
      <c r="F886" s="25">
        <v>60</v>
      </c>
      <c r="G886" s="26" t="str">
        <f>IF('Fee Receipt (Class-wise)'!C1606="", "", 'Fee Receipt (Class-wise)'!C1606)</f>
        <v/>
      </c>
      <c r="H886" s="25" t="str">
        <f>'Fee Receipt (Class-wise)'!K1606</f>
        <v/>
      </c>
      <c r="I886" s="23"/>
    </row>
    <row r="887" spans="1:9" ht="14.45" customHeight="1">
      <c r="A887" s="35"/>
      <c r="B887" s="25"/>
      <c r="C887" s="23"/>
      <c r="D887" s="23"/>
      <c r="E887" s="23"/>
      <c r="F887" s="33" t="s">
        <v>31</v>
      </c>
      <c r="G887" s="33"/>
      <c r="H887" s="24">
        <f>SUM(D857:D886)+SUM(H857:H886)</f>
        <v>0</v>
      </c>
      <c r="I887" s="23"/>
    </row>
    <row r="888" spans="1:9" ht="14.45" customHeight="1">
      <c r="B888" s="23"/>
      <c r="C888" s="23"/>
      <c r="D888" s="23"/>
      <c r="E888" s="23"/>
      <c r="F888" s="23"/>
      <c r="G888" s="23"/>
      <c r="H888" s="23"/>
      <c r="I888" s="23"/>
    </row>
    <row r="889" spans="1:9" ht="14.45" customHeight="1">
      <c r="B889" s="23"/>
      <c r="C889" s="23"/>
      <c r="D889" s="23"/>
      <c r="E889" s="23"/>
      <c r="F889" s="23"/>
      <c r="G889" s="23"/>
      <c r="H889" s="23"/>
      <c r="I889" s="23"/>
    </row>
    <row r="890" spans="1:9" ht="14.45" customHeight="1">
      <c r="A890" s="49">
        <v>25</v>
      </c>
      <c r="B890" s="35" t="s">
        <v>33</v>
      </c>
      <c r="C890" s="35"/>
      <c r="D890" s="35"/>
      <c r="E890" s="35"/>
      <c r="F890" s="35"/>
      <c r="G890" s="35"/>
      <c r="H890" s="24" t="s">
        <v>36</v>
      </c>
      <c r="I890" s="23"/>
    </row>
    <row r="891" spans="1:9" ht="14.45" customHeight="1">
      <c r="A891" s="49"/>
      <c r="B891" s="23" t="s">
        <v>35</v>
      </c>
      <c r="C891" s="50" t="str">
        <f>IF('Fee Receipt (Class-wise)'!C1611="", "", 'Fee Receipt (Class-wise)'!C1611)</f>
        <v/>
      </c>
      <c r="D891" s="50"/>
      <c r="E891" s="23"/>
      <c r="F891" s="23"/>
      <c r="G891" s="23"/>
      <c r="H891" s="49" t="str">
        <f>IF(C891="", "", H924)</f>
        <v/>
      </c>
      <c r="I891" s="23"/>
    </row>
    <row r="892" spans="1:9" ht="14.45" customHeight="1">
      <c r="A892" s="49"/>
      <c r="B892" s="23" t="s">
        <v>34</v>
      </c>
      <c r="C892" s="50" t="str">
        <f>IF(C891="", "", 'Fee Receipt (Class-wise)'!$H$2)</f>
        <v/>
      </c>
      <c r="D892" s="50"/>
      <c r="E892" s="23"/>
      <c r="F892" s="23"/>
      <c r="G892" s="23"/>
      <c r="H892" s="49"/>
      <c r="I892" s="23"/>
    </row>
    <row r="893" spans="1:9" ht="14.45" customHeight="1">
      <c r="A893" s="35"/>
      <c r="B893" s="25" t="s">
        <v>1</v>
      </c>
      <c r="C893" s="25" t="s">
        <v>2</v>
      </c>
      <c r="D893" s="25" t="s">
        <v>9</v>
      </c>
      <c r="E893" s="23"/>
      <c r="F893" s="25" t="s">
        <v>1</v>
      </c>
      <c r="G893" s="25" t="s">
        <v>2</v>
      </c>
      <c r="H893" s="25" t="s">
        <v>9</v>
      </c>
      <c r="I893" s="23"/>
    </row>
    <row r="894" spans="1:9" ht="14.45" customHeight="1">
      <c r="A894" s="35"/>
      <c r="B894" s="25">
        <v>1</v>
      </c>
      <c r="C894" s="26" t="str">
        <f>IF('Fee Receipt (Class-wise)'!C1614="", "", 'Fee Receipt (Class-wise)'!C1614)</f>
        <v/>
      </c>
      <c r="D894" s="25" t="str">
        <f>'Fee Receipt (Class-wise)'!K1614</f>
        <v/>
      </c>
      <c r="E894" s="23"/>
      <c r="F894" s="25">
        <v>31</v>
      </c>
      <c r="G894" s="26" t="str">
        <f>IF('Fee Receipt (Class-wise)'!C1644="", "", 'Fee Receipt (Class-wise)'!C1644)</f>
        <v/>
      </c>
      <c r="H894" s="25" t="str">
        <f>'Fee Receipt (Class-wise)'!K1644</f>
        <v/>
      </c>
      <c r="I894" s="23"/>
    </row>
    <row r="895" spans="1:9" ht="14.45" customHeight="1">
      <c r="A895" s="35"/>
      <c r="B895" s="25">
        <v>2</v>
      </c>
      <c r="C895" s="26" t="str">
        <f>IF('Fee Receipt (Class-wise)'!C1615="", "", 'Fee Receipt (Class-wise)'!C1615)</f>
        <v/>
      </c>
      <c r="D895" s="25" t="str">
        <f>'Fee Receipt (Class-wise)'!K1615</f>
        <v/>
      </c>
      <c r="E895" s="23"/>
      <c r="F895" s="25">
        <v>32</v>
      </c>
      <c r="G895" s="26" t="str">
        <f>IF('Fee Receipt (Class-wise)'!C1645="", "", 'Fee Receipt (Class-wise)'!C1645)</f>
        <v/>
      </c>
      <c r="H895" s="25" t="str">
        <f>'Fee Receipt (Class-wise)'!K1645</f>
        <v/>
      </c>
      <c r="I895" s="23"/>
    </row>
    <row r="896" spans="1:9" ht="14.45" customHeight="1">
      <c r="A896" s="35"/>
      <c r="B896" s="25">
        <v>3</v>
      </c>
      <c r="C896" s="26" t="str">
        <f>IF('Fee Receipt (Class-wise)'!C1616="", "", 'Fee Receipt (Class-wise)'!C1616)</f>
        <v/>
      </c>
      <c r="D896" s="25" t="str">
        <f>'Fee Receipt (Class-wise)'!K1616</f>
        <v/>
      </c>
      <c r="E896" s="23"/>
      <c r="F896" s="25">
        <v>33</v>
      </c>
      <c r="G896" s="26" t="str">
        <f>IF('Fee Receipt (Class-wise)'!C1646="", "", 'Fee Receipt (Class-wise)'!C1646)</f>
        <v/>
      </c>
      <c r="H896" s="25" t="str">
        <f>'Fee Receipt (Class-wise)'!K1646</f>
        <v/>
      </c>
      <c r="I896" s="23"/>
    </row>
    <row r="897" spans="1:9" ht="14.45" customHeight="1">
      <c r="A897" s="35"/>
      <c r="B897" s="25">
        <v>4</v>
      </c>
      <c r="C897" s="26" t="str">
        <f>IF('Fee Receipt (Class-wise)'!C1617="", "", 'Fee Receipt (Class-wise)'!C1617)</f>
        <v/>
      </c>
      <c r="D897" s="25" t="str">
        <f>'Fee Receipt (Class-wise)'!K1617</f>
        <v/>
      </c>
      <c r="E897" s="23"/>
      <c r="F897" s="25">
        <v>34</v>
      </c>
      <c r="G897" s="26" t="str">
        <f>IF('Fee Receipt (Class-wise)'!C1647="", "", 'Fee Receipt (Class-wise)'!C1647)</f>
        <v/>
      </c>
      <c r="H897" s="25" t="str">
        <f>'Fee Receipt (Class-wise)'!K1647</f>
        <v/>
      </c>
      <c r="I897" s="23"/>
    </row>
    <row r="898" spans="1:9" ht="14.45" customHeight="1">
      <c r="A898" s="35"/>
      <c r="B898" s="25">
        <v>5</v>
      </c>
      <c r="C898" s="26" t="str">
        <f>IF('Fee Receipt (Class-wise)'!C1618="", "", 'Fee Receipt (Class-wise)'!C1618)</f>
        <v/>
      </c>
      <c r="D898" s="25" t="str">
        <f>'Fee Receipt (Class-wise)'!K1618</f>
        <v/>
      </c>
      <c r="E898" s="23"/>
      <c r="F898" s="25">
        <v>35</v>
      </c>
      <c r="G898" s="26" t="str">
        <f>IF('Fee Receipt (Class-wise)'!C1648="", "", 'Fee Receipt (Class-wise)'!C1648)</f>
        <v/>
      </c>
      <c r="H898" s="25" t="str">
        <f>'Fee Receipt (Class-wise)'!K1648</f>
        <v/>
      </c>
      <c r="I898" s="23"/>
    </row>
    <row r="899" spans="1:9" ht="14.45" customHeight="1">
      <c r="A899" s="35"/>
      <c r="B899" s="25">
        <v>6</v>
      </c>
      <c r="C899" s="26" t="str">
        <f>IF('Fee Receipt (Class-wise)'!C1619="", "", 'Fee Receipt (Class-wise)'!C1619)</f>
        <v/>
      </c>
      <c r="D899" s="25" t="str">
        <f>'Fee Receipt (Class-wise)'!K1619</f>
        <v/>
      </c>
      <c r="E899" s="23"/>
      <c r="F899" s="25">
        <v>36</v>
      </c>
      <c r="G899" s="26" t="str">
        <f>IF('Fee Receipt (Class-wise)'!C1649="", "", 'Fee Receipt (Class-wise)'!C1649)</f>
        <v/>
      </c>
      <c r="H899" s="25" t="str">
        <f>'Fee Receipt (Class-wise)'!K1649</f>
        <v/>
      </c>
      <c r="I899" s="23"/>
    </row>
    <row r="900" spans="1:9" ht="14.45" customHeight="1">
      <c r="A900" s="35"/>
      <c r="B900" s="25">
        <v>7</v>
      </c>
      <c r="C900" s="26" t="str">
        <f>IF('Fee Receipt (Class-wise)'!C1620="", "", 'Fee Receipt (Class-wise)'!C1620)</f>
        <v/>
      </c>
      <c r="D900" s="25" t="str">
        <f>'Fee Receipt (Class-wise)'!K1620</f>
        <v/>
      </c>
      <c r="E900" s="23"/>
      <c r="F900" s="25">
        <v>37</v>
      </c>
      <c r="G900" s="26" t="str">
        <f>IF('Fee Receipt (Class-wise)'!C1650="", "", 'Fee Receipt (Class-wise)'!C1650)</f>
        <v/>
      </c>
      <c r="H900" s="25" t="str">
        <f>'Fee Receipt (Class-wise)'!K1650</f>
        <v/>
      </c>
      <c r="I900" s="23"/>
    </row>
    <row r="901" spans="1:9" ht="14.45" customHeight="1">
      <c r="A901" s="35"/>
      <c r="B901" s="25">
        <v>8</v>
      </c>
      <c r="C901" s="26" t="str">
        <f>IF('Fee Receipt (Class-wise)'!C1621="", "", 'Fee Receipt (Class-wise)'!C1621)</f>
        <v/>
      </c>
      <c r="D901" s="25" t="str">
        <f>'Fee Receipt (Class-wise)'!K1621</f>
        <v/>
      </c>
      <c r="E901" s="23"/>
      <c r="F901" s="25">
        <v>38</v>
      </c>
      <c r="G901" s="26" t="str">
        <f>IF('Fee Receipt (Class-wise)'!C1651="", "", 'Fee Receipt (Class-wise)'!C1651)</f>
        <v/>
      </c>
      <c r="H901" s="25" t="str">
        <f>'Fee Receipt (Class-wise)'!K1651</f>
        <v/>
      </c>
      <c r="I901" s="23"/>
    </row>
    <row r="902" spans="1:9" ht="14.45" customHeight="1">
      <c r="A902" s="35"/>
      <c r="B902" s="25">
        <v>9</v>
      </c>
      <c r="C902" s="26" t="str">
        <f>IF('Fee Receipt (Class-wise)'!C1622="", "", 'Fee Receipt (Class-wise)'!C1622)</f>
        <v/>
      </c>
      <c r="D902" s="25" t="str">
        <f>'Fee Receipt (Class-wise)'!K1622</f>
        <v/>
      </c>
      <c r="E902" s="23"/>
      <c r="F902" s="25">
        <v>39</v>
      </c>
      <c r="G902" s="26" t="str">
        <f>IF('Fee Receipt (Class-wise)'!C1652="", "", 'Fee Receipt (Class-wise)'!C1652)</f>
        <v/>
      </c>
      <c r="H902" s="25" t="str">
        <f>'Fee Receipt (Class-wise)'!K1652</f>
        <v/>
      </c>
      <c r="I902" s="23"/>
    </row>
    <row r="903" spans="1:9" ht="14.45" customHeight="1">
      <c r="A903" s="35"/>
      <c r="B903" s="25">
        <v>10</v>
      </c>
      <c r="C903" s="26" t="str">
        <f>IF('Fee Receipt (Class-wise)'!C1623="", "", 'Fee Receipt (Class-wise)'!C1623)</f>
        <v/>
      </c>
      <c r="D903" s="25" t="str">
        <f>'Fee Receipt (Class-wise)'!K1623</f>
        <v/>
      </c>
      <c r="E903" s="23"/>
      <c r="F903" s="25">
        <v>40</v>
      </c>
      <c r="G903" s="26" t="str">
        <f>IF('Fee Receipt (Class-wise)'!C1653="", "", 'Fee Receipt (Class-wise)'!C1653)</f>
        <v/>
      </c>
      <c r="H903" s="25" t="str">
        <f>'Fee Receipt (Class-wise)'!K1653</f>
        <v/>
      </c>
      <c r="I903" s="23"/>
    </row>
    <row r="904" spans="1:9" ht="14.45" customHeight="1">
      <c r="A904" s="35"/>
      <c r="B904" s="25">
        <v>11</v>
      </c>
      <c r="C904" s="26" t="str">
        <f>IF('Fee Receipt (Class-wise)'!C1624="", "", 'Fee Receipt (Class-wise)'!C1624)</f>
        <v/>
      </c>
      <c r="D904" s="25" t="str">
        <f>'Fee Receipt (Class-wise)'!K1624</f>
        <v/>
      </c>
      <c r="E904" s="23"/>
      <c r="F904" s="25">
        <v>41</v>
      </c>
      <c r="G904" s="26" t="str">
        <f>IF('Fee Receipt (Class-wise)'!C1654="", "", 'Fee Receipt (Class-wise)'!C1654)</f>
        <v/>
      </c>
      <c r="H904" s="25" t="str">
        <f>'Fee Receipt (Class-wise)'!K1654</f>
        <v/>
      </c>
      <c r="I904" s="23"/>
    </row>
    <row r="905" spans="1:9" ht="14.45" customHeight="1">
      <c r="A905" s="35"/>
      <c r="B905" s="25">
        <v>12</v>
      </c>
      <c r="C905" s="26" t="str">
        <f>IF('Fee Receipt (Class-wise)'!C1625="", "", 'Fee Receipt (Class-wise)'!C1625)</f>
        <v/>
      </c>
      <c r="D905" s="25" t="str">
        <f>'Fee Receipt (Class-wise)'!K1625</f>
        <v/>
      </c>
      <c r="E905" s="23"/>
      <c r="F905" s="25">
        <v>42</v>
      </c>
      <c r="G905" s="26" t="str">
        <f>IF('Fee Receipt (Class-wise)'!C1655="", "", 'Fee Receipt (Class-wise)'!C1655)</f>
        <v/>
      </c>
      <c r="H905" s="25" t="str">
        <f>'Fee Receipt (Class-wise)'!K1655</f>
        <v/>
      </c>
      <c r="I905" s="23"/>
    </row>
    <row r="906" spans="1:9" ht="14.45" customHeight="1">
      <c r="A906" s="35"/>
      <c r="B906" s="25">
        <v>13</v>
      </c>
      <c r="C906" s="26" t="str">
        <f>IF('Fee Receipt (Class-wise)'!C1626="", "", 'Fee Receipt (Class-wise)'!C1626)</f>
        <v/>
      </c>
      <c r="D906" s="25" t="str">
        <f>'Fee Receipt (Class-wise)'!K1626</f>
        <v/>
      </c>
      <c r="E906" s="23"/>
      <c r="F906" s="25">
        <v>43</v>
      </c>
      <c r="G906" s="26" t="str">
        <f>IF('Fee Receipt (Class-wise)'!C1656="", "", 'Fee Receipt (Class-wise)'!C1656)</f>
        <v/>
      </c>
      <c r="H906" s="25" t="str">
        <f>'Fee Receipt (Class-wise)'!K1656</f>
        <v/>
      </c>
      <c r="I906" s="23"/>
    </row>
    <row r="907" spans="1:9" ht="14.45" customHeight="1">
      <c r="A907" s="35"/>
      <c r="B907" s="25">
        <v>14</v>
      </c>
      <c r="C907" s="26" t="str">
        <f>IF('Fee Receipt (Class-wise)'!C1627="", "", 'Fee Receipt (Class-wise)'!C1627)</f>
        <v/>
      </c>
      <c r="D907" s="25" t="str">
        <f>'Fee Receipt (Class-wise)'!K1627</f>
        <v/>
      </c>
      <c r="E907" s="23"/>
      <c r="F907" s="25">
        <v>44</v>
      </c>
      <c r="G907" s="26" t="str">
        <f>IF('Fee Receipt (Class-wise)'!C1657="", "", 'Fee Receipt (Class-wise)'!C1657)</f>
        <v/>
      </c>
      <c r="H907" s="25" t="str">
        <f>'Fee Receipt (Class-wise)'!K1657</f>
        <v/>
      </c>
      <c r="I907" s="23"/>
    </row>
    <row r="908" spans="1:9" ht="14.45" customHeight="1">
      <c r="A908" s="35"/>
      <c r="B908" s="25">
        <v>15</v>
      </c>
      <c r="C908" s="26" t="str">
        <f>IF('Fee Receipt (Class-wise)'!C1628="", "", 'Fee Receipt (Class-wise)'!C1628)</f>
        <v/>
      </c>
      <c r="D908" s="25" t="str">
        <f>'Fee Receipt (Class-wise)'!K1628</f>
        <v/>
      </c>
      <c r="E908" s="23"/>
      <c r="F908" s="25">
        <v>45</v>
      </c>
      <c r="G908" s="26" t="str">
        <f>IF('Fee Receipt (Class-wise)'!C1658="", "", 'Fee Receipt (Class-wise)'!C1658)</f>
        <v/>
      </c>
      <c r="H908" s="25" t="str">
        <f>'Fee Receipt (Class-wise)'!K1658</f>
        <v/>
      </c>
      <c r="I908" s="23"/>
    </row>
    <row r="909" spans="1:9" ht="14.45" customHeight="1">
      <c r="A909" s="35"/>
      <c r="B909" s="25">
        <v>16</v>
      </c>
      <c r="C909" s="26" t="str">
        <f>IF('Fee Receipt (Class-wise)'!C1629="", "", 'Fee Receipt (Class-wise)'!C1629)</f>
        <v/>
      </c>
      <c r="D909" s="25" t="str">
        <f>'Fee Receipt (Class-wise)'!K1629</f>
        <v/>
      </c>
      <c r="E909" s="23"/>
      <c r="F909" s="25">
        <v>46</v>
      </c>
      <c r="G909" s="26" t="str">
        <f>IF('Fee Receipt (Class-wise)'!C1659="", "", 'Fee Receipt (Class-wise)'!C1659)</f>
        <v/>
      </c>
      <c r="H909" s="25" t="str">
        <f>'Fee Receipt (Class-wise)'!K1659</f>
        <v/>
      </c>
      <c r="I909" s="23"/>
    </row>
    <row r="910" spans="1:9" ht="14.45" customHeight="1">
      <c r="A910" s="35"/>
      <c r="B910" s="25">
        <v>17</v>
      </c>
      <c r="C910" s="26" t="str">
        <f>IF('Fee Receipt (Class-wise)'!C1630="", "", 'Fee Receipt (Class-wise)'!C1630)</f>
        <v/>
      </c>
      <c r="D910" s="25" t="str">
        <f>'Fee Receipt (Class-wise)'!K1630</f>
        <v/>
      </c>
      <c r="E910" s="23"/>
      <c r="F910" s="25">
        <v>47</v>
      </c>
      <c r="G910" s="26" t="str">
        <f>IF('Fee Receipt (Class-wise)'!C1660="", "", 'Fee Receipt (Class-wise)'!C1660)</f>
        <v/>
      </c>
      <c r="H910" s="25" t="str">
        <f>'Fee Receipt (Class-wise)'!K1660</f>
        <v/>
      </c>
      <c r="I910" s="23"/>
    </row>
    <row r="911" spans="1:9" ht="14.45" customHeight="1">
      <c r="A911" s="35"/>
      <c r="B911" s="25">
        <v>18</v>
      </c>
      <c r="C911" s="26" t="str">
        <f>IF('Fee Receipt (Class-wise)'!C1631="", "", 'Fee Receipt (Class-wise)'!C1631)</f>
        <v/>
      </c>
      <c r="D911" s="25" t="str">
        <f>'Fee Receipt (Class-wise)'!K1631</f>
        <v/>
      </c>
      <c r="E911" s="23"/>
      <c r="F911" s="25">
        <v>48</v>
      </c>
      <c r="G911" s="26" t="str">
        <f>IF('Fee Receipt (Class-wise)'!C1661="", "", 'Fee Receipt (Class-wise)'!C1661)</f>
        <v/>
      </c>
      <c r="H911" s="25" t="str">
        <f>'Fee Receipt (Class-wise)'!K1661</f>
        <v/>
      </c>
      <c r="I911" s="23"/>
    </row>
    <row r="912" spans="1:9" ht="14.45" customHeight="1">
      <c r="A912" s="35"/>
      <c r="B912" s="25">
        <v>19</v>
      </c>
      <c r="C912" s="26" t="str">
        <f>IF('Fee Receipt (Class-wise)'!C1632="", "", 'Fee Receipt (Class-wise)'!C1632)</f>
        <v/>
      </c>
      <c r="D912" s="25" t="str">
        <f>'Fee Receipt (Class-wise)'!K1632</f>
        <v/>
      </c>
      <c r="E912" s="23"/>
      <c r="F912" s="25">
        <v>49</v>
      </c>
      <c r="G912" s="26" t="str">
        <f>IF('Fee Receipt (Class-wise)'!C1662="", "", 'Fee Receipt (Class-wise)'!C1662)</f>
        <v/>
      </c>
      <c r="H912" s="25" t="str">
        <f>'Fee Receipt (Class-wise)'!K1662</f>
        <v/>
      </c>
      <c r="I912" s="23"/>
    </row>
    <row r="913" spans="1:9" ht="14.45" customHeight="1">
      <c r="A913" s="35"/>
      <c r="B913" s="25">
        <v>20</v>
      </c>
      <c r="C913" s="26" t="str">
        <f>IF('Fee Receipt (Class-wise)'!C1633="", "", 'Fee Receipt (Class-wise)'!C1633)</f>
        <v/>
      </c>
      <c r="D913" s="25" t="str">
        <f>'Fee Receipt (Class-wise)'!K1633</f>
        <v/>
      </c>
      <c r="E913" s="23"/>
      <c r="F913" s="25">
        <v>50</v>
      </c>
      <c r="G913" s="26" t="str">
        <f>IF('Fee Receipt (Class-wise)'!C1663="", "", 'Fee Receipt (Class-wise)'!C1663)</f>
        <v/>
      </c>
      <c r="H913" s="25" t="str">
        <f>'Fee Receipt (Class-wise)'!K1663</f>
        <v/>
      </c>
      <c r="I913" s="23"/>
    </row>
    <row r="914" spans="1:9" ht="14.45" customHeight="1">
      <c r="A914" s="35"/>
      <c r="B914" s="25">
        <v>21</v>
      </c>
      <c r="C914" s="26" t="str">
        <f>IF('Fee Receipt (Class-wise)'!C1634="", "", 'Fee Receipt (Class-wise)'!C1634)</f>
        <v/>
      </c>
      <c r="D914" s="25" t="str">
        <f>'Fee Receipt (Class-wise)'!K1634</f>
        <v/>
      </c>
      <c r="E914" s="23"/>
      <c r="F914" s="25">
        <v>51</v>
      </c>
      <c r="G914" s="26" t="str">
        <f>IF('Fee Receipt (Class-wise)'!C1664="", "", 'Fee Receipt (Class-wise)'!C1664)</f>
        <v/>
      </c>
      <c r="H914" s="25" t="str">
        <f>'Fee Receipt (Class-wise)'!K1664</f>
        <v/>
      </c>
      <c r="I914" s="23"/>
    </row>
    <row r="915" spans="1:9" ht="14.45" customHeight="1">
      <c r="A915" s="35"/>
      <c r="B915" s="25">
        <v>22</v>
      </c>
      <c r="C915" s="26" t="str">
        <f>IF('Fee Receipt (Class-wise)'!C1635="", "", 'Fee Receipt (Class-wise)'!C1635)</f>
        <v/>
      </c>
      <c r="D915" s="25" t="str">
        <f>'Fee Receipt (Class-wise)'!K1635</f>
        <v/>
      </c>
      <c r="E915" s="23"/>
      <c r="F915" s="25">
        <v>52</v>
      </c>
      <c r="G915" s="26" t="str">
        <f>IF('Fee Receipt (Class-wise)'!C1665="", "", 'Fee Receipt (Class-wise)'!C1665)</f>
        <v/>
      </c>
      <c r="H915" s="25" t="str">
        <f>'Fee Receipt (Class-wise)'!K1665</f>
        <v/>
      </c>
      <c r="I915" s="23"/>
    </row>
    <row r="916" spans="1:9" ht="14.45" customHeight="1">
      <c r="A916" s="35"/>
      <c r="B916" s="25">
        <v>23</v>
      </c>
      <c r="C916" s="26" t="str">
        <f>IF('Fee Receipt (Class-wise)'!C1636="", "", 'Fee Receipt (Class-wise)'!C1636)</f>
        <v/>
      </c>
      <c r="D916" s="25" t="str">
        <f>'Fee Receipt (Class-wise)'!K1636</f>
        <v/>
      </c>
      <c r="E916" s="23"/>
      <c r="F916" s="25">
        <v>53</v>
      </c>
      <c r="G916" s="26" t="str">
        <f>IF('Fee Receipt (Class-wise)'!C1666="", "", 'Fee Receipt (Class-wise)'!C1666)</f>
        <v/>
      </c>
      <c r="H916" s="25" t="str">
        <f>'Fee Receipt (Class-wise)'!K1666</f>
        <v/>
      </c>
      <c r="I916" s="23"/>
    </row>
    <row r="917" spans="1:9" ht="14.45" customHeight="1">
      <c r="A917" s="35"/>
      <c r="B917" s="25">
        <v>24</v>
      </c>
      <c r="C917" s="26" t="str">
        <f>IF('Fee Receipt (Class-wise)'!C1637="", "", 'Fee Receipt (Class-wise)'!C1637)</f>
        <v/>
      </c>
      <c r="D917" s="25" t="str">
        <f>'Fee Receipt (Class-wise)'!K1637</f>
        <v/>
      </c>
      <c r="E917" s="23"/>
      <c r="F917" s="25">
        <v>54</v>
      </c>
      <c r="G917" s="26" t="str">
        <f>IF('Fee Receipt (Class-wise)'!C1667="", "", 'Fee Receipt (Class-wise)'!C1667)</f>
        <v/>
      </c>
      <c r="H917" s="25" t="str">
        <f>'Fee Receipt (Class-wise)'!K1667</f>
        <v/>
      </c>
      <c r="I917" s="23"/>
    </row>
    <row r="918" spans="1:9" ht="14.45" customHeight="1">
      <c r="A918" s="35"/>
      <c r="B918" s="25">
        <v>25</v>
      </c>
      <c r="C918" s="26" t="str">
        <f>IF('Fee Receipt (Class-wise)'!C1638="", "", 'Fee Receipt (Class-wise)'!C1638)</f>
        <v/>
      </c>
      <c r="D918" s="25" t="str">
        <f>'Fee Receipt (Class-wise)'!K1638</f>
        <v/>
      </c>
      <c r="E918" s="23"/>
      <c r="F918" s="25">
        <v>55</v>
      </c>
      <c r="G918" s="26" t="str">
        <f>IF('Fee Receipt (Class-wise)'!C1668="", "", 'Fee Receipt (Class-wise)'!C1668)</f>
        <v/>
      </c>
      <c r="H918" s="25" t="str">
        <f>'Fee Receipt (Class-wise)'!K1668</f>
        <v/>
      </c>
      <c r="I918" s="23"/>
    </row>
    <row r="919" spans="1:9" ht="14.45" customHeight="1">
      <c r="A919" s="35"/>
      <c r="B919" s="25">
        <v>26</v>
      </c>
      <c r="C919" s="26" t="str">
        <f>IF('Fee Receipt (Class-wise)'!C1639="", "", 'Fee Receipt (Class-wise)'!C1639)</f>
        <v/>
      </c>
      <c r="D919" s="25" t="str">
        <f>'Fee Receipt (Class-wise)'!K1639</f>
        <v/>
      </c>
      <c r="E919" s="23"/>
      <c r="F919" s="25">
        <v>56</v>
      </c>
      <c r="G919" s="26" t="str">
        <f>IF('Fee Receipt (Class-wise)'!C1669="", "", 'Fee Receipt (Class-wise)'!C1669)</f>
        <v/>
      </c>
      <c r="H919" s="25" t="str">
        <f>'Fee Receipt (Class-wise)'!K1669</f>
        <v/>
      </c>
      <c r="I919" s="23"/>
    </row>
    <row r="920" spans="1:9" ht="14.45" customHeight="1">
      <c r="A920" s="35"/>
      <c r="B920" s="25">
        <v>27</v>
      </c>
      <c r="C920" s="26" t="str">
        <f>IF('Fee Receipt (Class-wise)'!C1640="", "", 'Fee Receipt (Class-wise)'!C1640)</f>
        <v/>
      </c>
      <c r="D920" s="25" t="str">
        <f>'Fee Receipt (Class-wise)'!K1640</f>
        <v/>
      </c>
      <c r="E920" s="23"/>
      <c r="F920" s="25">
        <v>57</v>
      </c>
      <c r="G920" s="26" t="str">
        <f>IF('Fee Receipt (Class-wise)'!C1670="", "", 'Fee Receipt (Class-wise)'!C1670)</f>
        <v/>
      </c>
      <c r="H920" s="25" t="str">
        <f>'Fee Receipt (Class-wise)'!K1670</f>
        <v/>
      </c>
      <c r="I920" s="23"/>
    </row>
    <row r="921" spans="1:9" ht="14.45" customHeight="1">
      <c r="A921" s="35"/>
      <c r="B921" s="25">
        <v>28</v>
      </c>
      <c r="C921" s="26" t="str">
        <f>IF('Fee Receipt (Class-wise)'!C1641="", "", 'Fee Receipt (Class-wise)'!C1641)</f>
        <v/>
      </c>
      <c r="D921" s="25" t="str">
        <f>'Fee Receipt (Class-wise)'!K1641</f>
        <v/>
      </c>
      <c r="E921" s="23"/>
      <c r="F921" s="25">
        <v>58</v>
      </c>
      <c r="G921" s="26" t="str">
        <f>IF('Fee Receipt (Class-wise)'!C1671="", "", 'Fee Receipt (Class-wise)'!C1671)</f>
        <v/>
      </c>
      <c r="H921" s="25" t="str">
        <f>'Fee Receipt (Class-wise)'!K1671</f>
        <v/>
      </c>
      <c r="I921" s="23"/>
    </row>
    <row r="922" spans="1:9" ht="14.45" customHeight="1">
      <c r="A922" s="35"/>
      <c r="B922" s="25">
        <v>29</v>
      </c>
      <c r="C922" s="26" t="str">
        <f>IF('Fee Receipt (Class-wise)'!C1642="", "", 'Fee Receipt (Class-wise)'!C1642)</f>
        <v/>
      </c>
      <c r="D922" s="25" t="str">
        <f>'Fee Receipt (Class-wise)'!K1642</f>
        <v/>
      </c>
      <c r="E922" s="23"/>
      <c r="F922" s="25">
        <v>59</v>
      </c>
      <c r="G922" s="26" t="str">
        <f>IF('Fee Receipt (Class-wise)'!C1672="", "", 'Fee Receipt (Class-wise)'!C1672)</f>
        <v/>
      </c>
      <c r="H922" s="25" t="str">
        <f>'Fee Receipt (Class-wise)'!K1672</f>
        <v/>
      </c>
      <c r="I922" s="23"/>
    </row>
    <row r="923" spans="1:9" ht="14.45" customHeight="1">
      <c r="A923" s="35"/>
      <c r="B923" s="25">
        <v>30</v>
      </c>
      <c r="C923" s="26" t="str">
        <f>IF('Fee Receipt (Class-wise)'!C1643="", "", 'Fee Receipt (Class-wise)'!C1643)</f>
        <v/>
      </c>
      <c r="D923" s="25" t="str">
        <f>'Fee Receipt (Class-wise)'!K1643</f>
        <v/>
      </c>
      <c r="E923" s="23"/>
      <c r="F923" s="25">
        <v>60</v>
      </c>
      <c r="G923" s="26" t="str">
        <f>IF('Fee Receipt (Class-wise)'!C1673="", "", 'Fee Receipt (Class-wise)'!C1673)</f>
        <v/>
      </c>
      <c r="H923" s="25" t="str">
        <f>'Fee Receipt (Class-wise)'!K1673</f>
        <v/>
      </c>
      <c r="I923" s="23"/>
    </row>
    <row r="924" spans="1:9" ht="14.45" customHeight="1">
      <c r="A924" s="35"/>
      <c r="B924" s="25"/>
      <c r="C924" s="23"/>
      <c r="D924" s="23"/>
      <c r="E924" s="23"/>
      <c r="F924" s="33" t="s">
        <v>31</v>
      </c>
      <c r="G924" s="33"/>
      <c r="H924" s="24">
        <f>SUM(D894:D923)+SUM(H894:H923)</f>
        <v>0</v>
      </c>
      <c r="I924" s="23"/>
    </row>
    <row r="925" spans="1:9" ht="14.45" customHeight="1">
      <c r="B925" s="23"/>
      <c r="C925" s="23"/>
      <c r="D925" s="23"/>
      <c r="E925" s="23"/>
      <c r="F925" s="23"/>
      <c r="G925" s="23"/>
      <c r="H925" s="23"/>
      <c r="I925" s="23"/>
    </row>
    <row r="926" spans="1:9" ht="14.45" customHeight="1">
      <c r="B926" s="23"/>
      <c r="C926" s="23"/>
      <c r="D926" s="23"/>
      <c r="E926" s="23"/>
      <c r="F926" s="23"/>
      <c r="G926" s="23"/>
      <c r="H926" s="23"/>
      <c r="I926" s="23"/>
    </row>
    <row r="927" spans="1:9" ht="14.45" customHeight="1">
      <c r="A927" s="49">
        <v>26</v>
      </c>
      <c r="B927" s="35" t="s">
        <v>33</v>
      </c>
      <c r="C927" s="35"/>
      <c r="D927" s="35"/>
      <c r="E927" s="35"/>
      <c r="F927" s="35"/>
      <c r="G927" s="35"/>
      <c r="H927" s="24" t="s">
        <v>36</v>
      </c>
      <c r="I927" s="23"/>
    </row>
    <row r="928" spans="1:9" ht="14.45" customHeight="1">
      <c r="A928" s="49"/>
      <c r="B928" s="23" t="s">
        <v>35</v>
      </c>
      <c r="C928" s="50" t="str">
        <f>IF('Fee Receipt (Class-wise)'!C1678="", "", 'Fee Receipt (Class-wise)'!C1678)</f>
        <v/>
      </c>
      <c r="D928" s="50"/>
      <c r="E928" s="23"/>
      <c r="F928" s="23"/>
      <c r="G928" s="23"/>
      <c r="H928" s="49" t="str">
        <f>IF(C928="", "", H961)</f>
        <v/>
      </c>
      <c r="I928" s="23"/>
    </row>
    <row r="929" spans="1:9" ht="14.45" customHeight="1">
      <c r="A929" s="49"/>
      <c r="B929" s="23" t="s">
        <v>34</v>
      </c>
      <c r="C929" s="50" t="str">
        <f>IF(C928="", "", 'Fee Receipt (Class-wise)'!$H$2)</f>
        <v/>
      </c>
      <c r="D929" s="50"/>
      <c r="E929" s="23"/>
      <c r="F929" s="23"/>
      <c r="G929" s="23"/>
      <c r="H929" s="49"/>
      <c r="I929" s="23"/>
    </row>
    <row r="930" spans="1:9" ht="14.45" customHeight="1">
      <c r="A930" s="35"/>
      <c r="B930" s="25" t="s">
        <v>1</v>
      </c>
      <c r="C930" s="25" t="s">
        <v>2</v>
      </c>
      <c r="D930" s="25" t="s">
        <v>9</v>
      </c>
      <c r="E930" s="23"/>
      <c r="F930" s="25" t="s">
        <v>1</v>
      </c>
      <c r="G930" s="25" t="s">
        <v>2</v>
      </c>
      <c r="H930" s="25" t="s">
        <v>9</v>
      </c>
      <c r="I930" s="23"/>
    </row>
    <row r="931" spans="1:9" ht="14.45" customHeight="1">
      <c r="A931" s="35"/>
      <c r="B931" s="25">
        <v>1</v>
      </c>
      <c r="C931" s="26" t="str">
        <f>IF('Fee Receipt (Class-wise)'!C1681="", "", 'Fee Receipt (Class-wise)'!C1681)</f>
        <v/>
      </c>
      <c r="D931" s="25" t="str">
        <f>'Fee Receipt (Class-wise)'!K1681</f>
        <v/>
      </c>
      <c r="E931" s="23"/>
      <c r="F931" s="25">
        <v>31</v>
      </c>
      <c r="G931" s="26" t="str">
        <f>IF('Fee Receipt (Class-wise)'!C1711="", "", 'Fee Receipt (Class-wise)'!C1711)</f>
        <v/>
      </c>
      <c r="H931" s="25" t="str">
        <f>'Fee Receipt (Class-wise)'!K1711</f>
        <v/>
      </c>
      <c r="I931" s="23"/>
    </row>
    <row r="932" spans="1:9" ht="14.45" customHeight="1">
      <c r="A932" s="35"/>
      <c r="B932" s="25">
        <v>2</v>
      </c>
      <c r="C932" s="26" t="str">
        <f>IF('Fee Receipt (Class-wise)'!C1682="", "", 'Fee Receipt (Class-wise)'!C1682)</f>
        <v/>
      </c>
      <c r="D932" s="25" t="str">
        <f>'Fee Receipt (Class-wise)'!K1682</f>
        <v/>
      </c>
      <c r="E932" s="23"/>
      <c r="F932" s="25">
        <v>32</v>
      </c>
      <c r="G932" s="26" t="str">
        <f>IF('Fee Receipt (Class-wise)'!C1712="", "", 'Fee Receipt (Class-wise)'!C1712)</f>
        <v/>
      </c>
      <c r="H932" s="25" t="str">
        <f>'Fee Receipt (Class-wise)'!K1712</f>
        <v/>
      </c>
      <c r="I932" s="23"/>
    </row>
    <row r="933" spans="1:9" ht="14.45" customHeight="1">
      <c r="A933" s="35"/>
      <c r="B933" s="25">
        <v>3</v>
      </c>
      <c r="C933" s="26" t="str">
        <f>IF('Fee Receipt (Class-wise)'!C1683="", "", 'Fee Receipt (Class-wise)'!C1683)</f>
        <v/>
      </c>
      <c r="D933" s="25" t="str">
        <f>'Fee Receipt (Class-wise)'!K1683</f>
        <v/>
      </c>
      <c r="E933" s="23"/>
      <c r="F933" s="25">
        <v>33</v>
      </c>
      <c r="G933" s="26" t="str">
        <f>IF('Fee Receipt (Class-wise)'!C1713="", "", 'Fee Receipt (Class-wise)'!C1713)</f>
        <v/>
      </c>
      <c r="H933" s="25" t="str">
        <f>'Fee Receipt (Class-wise)'!K1713</f>
        <v/>
      </c>
      <c r="I933" s="23"/>
    </row>
    <row r="934" spans="1:9" ht="14.45" customHeight="1">
      <c r="A934" s="35"/>
      <c r="B934" s="25">
        <v>4</v>
      </c>
      <c r="C934" s="26" t="str">
        <f>IF('Fee Receipt (Class-wise)'!C1684="", "", 'Fee Receipt (Class-wise)'!C1684)</f>
        <v/>
      </c>
      <c r="D934" s="25" t="str">
        <f>'Fee Receipt (Class-wise)'!K1684</f>
        <v/>
      </c>
      <c r="E934" s="23"/>
      <c r="F934" s="25">
        <v>34</v>
      </c>
      <c r="G934" s="26" t="str">
        <f>IF('Fee Receipt (Class-wise)'!C1714="", "", 'Fee Receipt (Class-wise)'!C1714)</f>
        <v/>
      </c>
      <c r="H934" s="25" t="str">
        <f>'Fee Receipt (Class-wise)'!K1714</f>
        <v/>
      </c>
      <c r="I934" s="23"/>
    </row>
    <row r="935" spans="1:9" ht="14.45" customHeight="1">
      <c r="A935" s="35"/>
      <c r="B935" s="25">
        <v>5</v>
      </c>
      <c r="C935" s="26" t="str">
        <f>IF('Fee Receipt (Class-wise)'!C1685="", "", 'Fee Receipt (Class-wise)'!C1685)</f>
        <v/>
      </c>
      <c r="D935" s="25" t="str">
        <f>'Fee Receipt (Class-wise)'!K1685</f>
        <v/>
      </c>
      <c r="E935" s="23"/>
      <c r="F935" s="25">
        <v>35</v>
      </c>
      <c r="G935" s="26" t="str">
        <f>IF('Fee Receipt (Class-wise)'!C1715="", "", 'Fee Receipt (Class-wise)'!C1715)</f>
        <v/>
      </c>
      <c r="H935" s="25" t="str">
        <f>'Fee Receipt (Class-wise)'!K1715</f>
        <v/>
      </c>
      <c r="I935" s="23"/>
    </row>
    <row r="936" spans="1:9" ht="14.45" customHeight="1">
      <c r="A936" s="35"/>
      <c r="B936" s="25">
        <v>6</v>
      </c>
      <c r="C936" s="26" t="str">
        <f>IF('Fee Receipt (Class-wise)'!C1686="", "", 'Fee Receipt (Class-wise)'!C1686)</f>
        <v/>
      </c>
      <c r="D936" s="25" t="str">
        <f>'Fee Receipt (Class-wise)'!K1686</f>
        <v/>
      </c>
      <c r="E936" s="23"/>
      <c r="F936" s="25">
        <v>36</v>
      </c>
      <c r="G936" s="26" t="str">
        <f>IF('Fee Receipt (Class-wise)'!C1716="", "", 'Fee Receipt (Class-wise)'!C1716)</f>
        <v/>
      </c>
      <c r="H936" s="25" t="str">
        <f>'Fee Receipt (Class-wise)'!K1716</f>
        <v/>
      </c>
      <c r="I936" s="23"/>
    </row>
    <row r="937" spans="1:9" ht="14.45" customHeight="1">
      <c r="A937" s="35"/>
      <c r="B937" s="25">
        <v>7</v>
      </c>
      <c r="C937" s="26" t="str">
        <f>IF('Fee Receipt (Class-wise)'!C1687="", "", 'Fee Receipt (Class-wise)'!C1687)</f>
        <v/>
      </c>
      <c r="D937" s="25" t="str">
        <f>'Fee Receipt (Class-wise)'!K1687</f>
        <v/>
      </c>
      <c r="E937" s="23"/>
      <c r="F937" s="25">
        <v>37</v>
      </c>
      <c r="G937" s="26" t="str">
        <f>IF('Fee Receipt (Class-wise)'!C1717="", "", 'Fee Receipt (Class-wise)'!C1717)</f>
        <v/>
      </c>
      <c r="H937" s="25" t="str">
        <f>'Fee Receipt (Class-wise)'!K1717</f>
        <v/>
      </c>
      <c r="I937" s="23"/>
    </row>
    <row r="938" spans="1:9" ht="14.45" customHeight="1">
      <c r="A938" s="35"/>
      <c r="B938" s="25">
        <v>8</v>
      </c>
      <c r="C938" s="26" t="str">
        <f>IF('Fee Receipt (Class-wise)'!C1688="", "", 'Fee Receipt (Class-wise)'!C1688)</f>
        <v/>
      </c>
      <c r="D938" s="25" t="str">
        <f>'Fee Receipt (Class-wise)'!K1688</f>
        <v/>
      </c>
      <c r="E938" s="23"/>
      <c r="F938" s="25">
        <v>38</v>
      </c>
      <c r="G938" s="26" t="str">
        <f>IF('Fee Receipt (Class-wise)'!C1718="", "", 'Fee Receipt (Class-wise)'!C1718)</f>
        <v/>
      </c>
      <c r="H938" s="25" t="str">
        <f>'Fee Receipt (Class-wise)'!K1718</f>
        <v/>
      </c>
      <c r="I938" s="23"/>
    </row>
    <row r="939" spans="1:9" ht="14.45" customHeight="1">
      <c r="A939" s="35"/>
      <c r="B939" s="25">
        <v>9</v>
      </c>
      <c r="C939" s="26" t="str">
        <f>IF('Fee Receipt (Class-wise)'!C1689="", "", 'Fee Receipt (Class-wise)'!C1689)</f>
        <v/>
      </c>
      <c r="D939" s="25" t="str">
        <f>'Fee Receipt (Class-wise)'!K1689</f>
        <v/>
      </c>
      <c r="E939" s="23"/>
      <c r="F939" s="25">
        <v>39</v>
      </c>
      <c r="G939" s="26" t="str">
        <f>IF('Fee Receipt (Class-wise)'!C1719="", "", 'Fee Receipt (Class-wise)'!C1719)</f>
        <v/>
      </c>
      <c r="H939" s="25" t="str">
        <f>'Fee Receipt (Class-wise)'!K1719</f>
        <v/>
      </c>
      <c r="I939" s="23"/>
    </row>
    <row r="940" spans="1:9" ht="14.45" customHeight="1">
      <c r="A940" s="35"/>
      <c r="B940" s="25">
        <v>10</v>
      </c>
      <c r="C940" s="26" t="str">
        <f>IF('Fee Receipt (Class-wise)'!C1690="", "", 'Fee Receipt (Class-wise)'!C1690)</f>
        <v/>
      </c>
      <c r="D940" s="25" t="str">
        <f>'Fee Receipt (Class-wise)'!K1690</f>
        <v/>
      </c>
      <c r="E940" s="23"/>
      <c r="F940" s="25">
        <v>40</v>
      </c>
      <c r="G940" s="26" t="str">
        <f>IF('Fee Receipt (Class-wise)'!C1720="", "", 'Fee Receipt (Class-wise)'!C1720)</f>
        <v/>
      </c>
      <c r="H940" s="25" t="str">
        <f>'Fee Receipt (Class-wise)'!K1720</f>
        <v/>
      </c>
      <c r="I940" s="23"/>
    </row>
    <row r="941" spans="1:9" ht="14.45" customHeight="1">
      <c r="A941" s="35"/>
      <c r="B941" s="25">
        <v>11</v>
      </c>
      <c r="C941" s="26" t="str">
        <f>IF('Fee Receipt (Class-wise)'!C1691="", "", 'Fee Receipt (Class-wise)'!C1691)</f>
        <v/>
      </c>
      <c r="D941" s="25" t="str">
        <f>'Fee Receipt (Class-wise)'!K1691</f>
        <v/>
      </c>
      <c r="E941" s="23"/>
      <c r="F941" s="25">
        <v>41</v>
      </c>
      <c r="G941" s="26" t="str">
        <f>IF('Fee Receipt (Class-wise)'!C1721="", "", 'Fee Receipt (Class-wise)'!C1721)</f>
        <v/>
      </c>
      <c r="H941" s="25" t="str">
        <f>'Fee Receipt (Class-wise)'!K1721</f>
        <v/>
      </c>
      <c r="I941" s="23"/>
    </row>
    <row r="942" spans="1:9" ht="14.45" customHeight="1">
      <c r="A942" s="35"/>
      <c r="B942" s="25">
        <v>12</v>
      </c>
      <c r="C942" s="26" t="str">
        <f>IF('Fee Receipt (Class-wise)'!C1692="", "", 'Fee Receipt (Class-wise)'!C1692)</f>
        <v/>
      </c>
      <c r="D942" s="25" t="str">
        <f>'Fee Receipt (Class-wise)'!K1692</f>
        <v/>
      </c>
      <c r="E942" s="23"/>
      <c r="F942" s="25">
        <v>42</v>
      </c>
      <c r="G942" s="26" t="str">
        <f>IF('Fee Receipt (Class-wise)'!C1722="", "", 'Fee Receipt (Class-wise)'!C1722)</f>
        <v/>
      </c>
      <c r="H942" s="25" t="str">
        <f>'Fee Receipt (Class-wise)'!K1722</f>
        <v/>
      </c>
      <c r="I942" s="23"/>
    </row>
    <row r="943" spans="1:9" ht="14.45" customHeight="1">
      <c r="A943" s="35"/>
      <c r="B943" s="25">
        <v>13</v>
      </c>
      <c r="C943" s="26" t="str">
        <f>IF('Fee Receipt (Class-wise)'!C1693="", "", 'Fee Receipt (Class-wise)'!C1693)</f>
        <v/>
      </c>
      <c r="D943" s="25" t="str">
        <f>'Fee Receipt (Class-wise)'!K1693</f>
        <v/>
      </c>
      <c r="E943" s="23"/>
      <c r="F943" s="25">
        <v>43</v>
      </c>
      <c r="G943" s="26" t="str">
        <f>IF('Fee Receipt (Class-wise)'!C1723="", "", 'Fee Receipt (Class-wise)'!C1723)</f>
        <v/>
      </c>
      <c r="H943" s="25" t="str">
        <f>'Fee Receipt (Class-wise)'!K1723</f>
        <v/>
      </c>
      <c r="I943" s="23"/>
    </row>
    <row r="944" spans="1:9" ht="14.45" customHeight="1">
      <c r="A944" s="35"/>
      <c r="B944" s="25">
        <v>14</v>
      </c>
      <c r="C944" s="26" t="str">
        <f>IF('Fee Receipt (Class-wise)'!C1694="", "", 'Fee Receipt (Class-wise)'!C1694)</f>
        <v/>
      </c>
      <c r="D944" s="25" t="str">
        <f>'Fee Receipt (Class-wise)'!K1694</f>
        <v/>
      </c>
      <c r="E944" s="23"/>
      <c r="F944" s="25">
        <v>44</v>
      </c>
      <c r="G944" s="26" t="str">
        <f>IF('Fee Receipt (Class-wise)'!C1724="", "", 'Fee Receipt (Class-wise)'!C1724)</f>
        <v/>
      </c>
      <c r="H944" s="25" t="str">
        <f>'Fee Receipt (Class-wise)'!K1724</f>
        <v/>
      </c>
      <c r="I944" s="23"/>
    </row>
    <row r="945" spans="1:9" ht="14.45" customHeight="1">
      <c r="A945" s="35"/>
      <c r="B945" s="25">
        <v>15</v>
      </c>
      <c r="C945" s="26" t="str">
        <f>IF('Fee Receipt (Class-wise)'!C1695="", "", 'Fee Receipt (Class-wise)'!C1695)</f>
        <v/>
      </c>
      <c r="D945" s="25" t="str">
        <f>'Fee Receipt (Class-wise)'!K1695</f>
        <v/>
      </c>
      <c r="E945" s="23"/>
      <c r="F945" s="25">
        <v>45</v>
      </c>
      <c r="G945" s="26" t="str">
        <f>IF('Fee Receipt (Class-wise)'!C1725="", "", 'Fee Receipt (Class-wise)'!C1725)</f>
        <v/>
      </c>
      <c r="H945" s="25" t="str">
        <f>'Fee Receipt (Class-wise)'!K1725</f>
        <v/>
      </c>
      <c r="I945" s="23"/>
    </row>
    <row r="946" spans="1:9" ht="14.45" customHeight="1">
      <c r="A946" s="35"/>
      <c r="B946" s="25">
        <v>16</v>
      </c>
      <c r="C946" s="26" t="str">
        <f>IF('Fee Receipt (Class-wise)'!C1696="", "", 'Fee Receipt (Class-wise)'!C1696)</f>
        <v/>
      </c>
      <c r="D946" s="25" t="str">
        <f>'Fee Receipt (Class-wise)'!K1696</f>
        <v/>
      </c>
      <c r="E946" s="23"/>
      <c r="F946" s="25">
        <v>46</v>
      </c>
      <c r="G946" s="26" t="str">
        <f>IF('Fee Receipt (Class-wise)'!C1726="", "", 'Fee Receipt (Class-wise)'!C1726)</f>
        <v/>
      </c>
      <c r="H946" s="25" t="str">
        <f>'Fee Receipt (Class-wise)'!K1726</f>
        <v/>
      </c>
      <c r="I946" s="23"/>
    </row>
    <row r="947" spans="1:9" ht="14.45" customHeight="1">
      <c r="A947" s="35"/>
      <c r="B947" s="25">
        <v>17</v>
      </c>
      <c r="C947" s="26" t="str">
        <f>IF('Fee Receipt (Class-wise)'!C1697="", "", 'Fee Receipt (Class-wise)'!C1697)</f>
        <v/>
      </c>
      <c r="D947" s="25" t="str">
        <f>'Fee Receipt (Class-wise)'!K1697</f>
        <v/>
      </c>
      <c r="E947" s="23"/>
      <c r="F947" s="25">
        <v>47</v>
      </c>
      <c r="G947" s="26" t="str">
        <f>IF('Fee Receipt (Class-wise)'!C1727="", "", 'Fee Receipt (Class-wise)'!C1727)</f>
        <v/>
      </c>
      <c r="H947" s="25" t="str">
        <f>'Fee Receipt (Class-wise)'!K1727</f>
        <v/>
      </c>
      <c r="I947" s="23"/>
    </row>
    <row r="948" spans="1:9" ht="14.45" customHeight="1">
      <c r="A948" s="35"/>
      <c r="B948" s="25">
        <v>18</v>
      </c>
      <c r="C948" s="26" t="str">
        <f>IF('Fee Receipt (Class-wise)'!C1698="", "", 'Fee Receipt (Class-wise)'!C1698)</f>
        <v/>
      </c>
      <c r="D948" s="25" t="str">
        <f>'Fee Receipt (Class-wise)'!K1698</f>
        <v/>
      </c>
      <c r="E948" s="23"/>
      <c r="F948" s="25">
        <v>48</v>
      </c>
      <c r="G948" s="26" t="str">
        <f>IF('Fee Receipt (Class-wise)'!C1728="", "", 'Fee Receipt (Class-wise)'!C1728)</f>
        <v/>
      </c>
      <c r="H948" s="25" t="str">
        <f>'Fee Receipt (Class-wise)'!K1728</f>
        <v/>
      </c>
      <c r="I948" s="23"/>
    </row>
    <row r="949" spans="1:9" ht="14.45" customHeight="1">
      <c r="A949" s="35"/>
      <c r="B949" s="25">
        <v>19</v>
      </c>
      <c r="C949" s="26" t="str">
        <f>IF('Fee Receipt (Class-wise)'!C1699="", "", 'Fee Receipt (Class-wise)'!C1699)</f>
        <v/>
      </c>
      <c r="D949" s="25" t="str">
        <f>'Fee Receipt (Class-wise)'!K1699</f>
        <v/>
      </c>
      <c r="E949" s="23"/>
      <c r="F949" s="25">
        <v>49</v>
      </c>
      <c r="G949" s="26" t="str">
        <f>IF('Fee Receipt (Class-wise)'!C1729="", "", 'Fee Receipt (Class-wise)'!C1729)</f>
        <v/>
      </c>
      <c r="H949" s="25" t="str">
        <f>'Fee Receipt (Class-wise)'!K1729</f>
        <v/>
      </c>
      <c r="I949" s="23"/>
    </row>
    <row r="950" spans="1:9" ht="14.45" customHeight="1">
      <c r="A950" s="35"/>
      <c r="B950" s="25">
        <v>20</v>
      </c>
      <c r="C950" s="26" t="str">
        <f>IF('Fee Receipt (Class-wise)'!C1700="", "", 'Fee Receipt (Class-wise)'!C1700)</f>
        <v/>
      </c>
      <c r="D950" s="25" t="str">
        <f>'Fee Receipt (Class-wise)'!K1700</f>
        <v/>
      </c>
      <c r="E950" s="23"/>
      <c r="F950" s="25">
        <v>50</v>
      </c>
      <c r="G950" s="26" t="str">
        <f>IF('Fee Receipt (Class-wise)'!C1730="", "", 'Fee Receipt (Class-wise)'!C1730)</f>
        <v/>
      </c>
      <c r="H950" s="25" t="str">
        <f>'Fee Receipt (Class-wise)'!K1730</f>
        <v/>
      </c>
      <c r="I950" s="23"/>
    </row>
    <row r="951" spans="1:9" ht="14.45" customHeight="1">
      <c r="A951" s="35"/>
      <c r="B951" s="25">
        <v>21</v>
      </c>
      <c r="C951" s="26" t="str">
        <f>IF('Fee Receipt (Class-wise)'!C1701="", "", 'Fee Receipt (Class-wise)'!C1701)</f>
        <v/>
      </c>
      <c r="D951" s="25" t="str">
        <f>'Fee Receipt (Class-wise)'!K1701</f>
        <v/>
      </c>
      <c r="E951" s="23"/>
      <c r="F951" s="25">
        <v>51</v>
      </c>
      <c r="G951" s="26" t="str">
        <f>IF('Fee Receipt (Class-wise)'!C1731="", "", 'Fee Receipt (Class-wise)'!C1731)</f>
        <v/>
      </c>
      <c r="H951" s="25" t="str">
        <f>'Fee Receipt (Class-wise)'!K1731</f>
        <v/>
      </c>
      <c r="I951" s="23"/>
    </row>
    <row r="952" spans="1:9" ht="14.45" customHeight="1">
      <c r="A952" s="35"/>
      <c r="B952" s="25">
        <v>22</v>
      </c>
      <c r="C952" s="26" t="str">
        <f>IF('Fee Receipt (Class-wise)'!C1702="", "", 'Fee Receipt (Class-wise)'!C1702)</f>
        <v/>
      </c>
      <c r="D952" s="25" t="str">
        <f>'Fee Receipt (Class-wise)'!K1702</f>
        <v/>
      </c>
      <c r="E952" s="23"/>
      <c r="F952" s="25">
        <v>52</v>
      </c>
      <c r="G952" s="26" t="str">
        <f>IF('Fee Receipt (Class-wise)'!C1732="", "", 'Fee Receipt (Class-wise)'!C1732)</f>
        <v/>
      </c>
      <c r="H952" s="25" t="str">
        <f>'Fee Receipt (Class-wise)'!K1732</f>
        <v/>
      </c>
      <c r="I952" s="23"/>
    </row>
    <row r="953" spans="1:9" ht="14.45" customHeight="1">
      <c r="A953" s="35"/>
      <c r="B953" s="25">
        <v>23</v>
      </c>
      <c r="C953" s="26" t="str">
        <f>IF('Fee Receipt (Class-wise)'!C1703="", "", 'Fee Receipt (Class-wise)'!C1703)</f>
        <v/>
      </c>
      <c r="D953" s="25" t="str">
        <f>'Fee Receipt (Class-wise)'!K1703</f>
        <v/>
      </c>
      <c r="E953" s="23"/>
      <c r="F953" s="25">
        <v>53</v>
      </c>
      <c r="G953" s="26" t="str">
        <f>IF('Fee Receipt (Class-wise)'!C1733="", "", 'Fee Receipt (Class-wise)'!C1733)</f>
        <v/>
      </c>
      <c r="H953" s="25" t="str">
        <f>'Fee Receipt (Class-wise)'!K1733</f>
        <v/>
      </c>
      <c r="I953" s="23"/>
    </row>
    <row r="954" spans="1:9" ht="14.45" customHeight="1">
      <c r="A954" s="35"/>
      <c r="B954" s="25">
        <v>24</v>
      </c>
      <c r="C954" s="26" t="str">
        <f>IF('Fee Receipt (Class-wise)'!C1704="", "", 'Fee Receipt (Class-wise)'!C1704)</f>
        <v/>
      </c>
      <c r="D954" s="25" t="str">
        <f>'Fee Receipt (Class-wise)'!K1704</f>
        <v/>
      </c>
      <c r="E954" s="23"/>
      <c r="F954" s="25">
        <v>54</v>
      </c>
      <c r="G954" s="26" t="str">
        <f>IF('Fee Receipt (Class-wise)'!C1734="", "", 'Fee Receipt (Class-wise)'!C1734)</f>
        <v/>
      </c>
      <c r="H954" s="25" t="str">
        <f>'Fee Receipt (Class-wise)'!K1734</f>
        <v/>
      </c>
      <c r="I954" s="23"/>
    </row>
    <row r="955" spans="1:9" ht="14.45" customHeight="1">
      <c r="A955" s="35"/>
      <c r="B955" s="25">
        <v>25</v>
      </c>
      <c r="C955" s="26" t="str">
        <f>IF('Fee Receipt (Class-wise)'!C1705="", "", 'Fee Receipt (Class-wise)'!C1705)</f>
        <v/>
      </c>
      <c r="D955" s="25" t="str">
        <f>'Fee Receipt (Class-wise)'!K1705</f>
        <v/>
      </c>
      <c r="E955" s="23"/>
      <c r="F955" s="25">
        <v>55</v>
      </c>
      <c r="G955" s="26" t="str">
        <f>IF('Fee Receipt (Class-wise)'!C1735="", "", 'Fee Receipt (Class-wise)'!C1735)</f>
        <v/>
      </c>
      <c r="H955" s="25" t="str">
        <f>'Fee Receipt (Class-wise)'!K1735</f>
        <v/>
      </c>
      <c r="I955" s="23"/>
    </row>
    <row r="956" spans="1:9" ht="14.45" customHeight="1">
      <c r="A956" s="35"/>
      <c r="B956" s="25">
        <v>26</v>
      </c>
      <c r="C956" s="26" t="str">
        <f>IF('Fee Receipt (Class-wise)'!C1706="", "", 'Fee Receipt (Class-wise)'!C1706)</f>
        <v/>
      </c>
      <c r="D956" s="25" t="str">
        <f>'Fee Receipt (Class-wise)'!K1706</f>
        <v/>
      </c>
      <c r="E956" s="23"/>
      <c r="F956" s="25">
        <v>56</v>
      </c>
      <c r="G956" s="26" t="str">
        <f>IF('Fee Receipt (Class-wise)'!C1736="", "", 'Fee Receipt (Class-wise)'!C1736)</f>
        <v/>
      </c>
      <c r="H956" s="25" t="str">
        <f>'Fee Receipt (Class-wise)'!K1736</f>
        <v/>
      </c>
      <c r="I956" s="23"/>
    </row>
    <row r="957" spans="1:9" ht="14.45" customHeight="1">
      <c r="A957" s="35"/>
      <c r="B957" s="25">
        <v>27</v>
      </c>
      <c r="C957" s="26" t="str">
        <f>IF('Fee Receipt (Class-wise)'!C1707="", "", 'Fee Receipt (Class-wise)'!C1707)</f>
        <v/>
      </c>
      <c r="D957" s="25" t="str">
        <f>'Fee Receipt (Class-wise)'!K1707</f>
        <v/>
      </c>
      <c r="E957" s="23"/>
      <c r="F957" s="25">
        <v>57</v>
      </c>
      <c r="G957" s="26" t="str">
        <f>IF('Fee Receipt (Class-wise)'!C1737="", "", 'Fee Receipt (Class-wise)'!C1737)</f>
        <v/>
      </c>
      <c r="H957" s="25" t="str">
        <f>'Fee Receipt (Class-wise)'!K1737</f>
        <v/>
      </c>
      <c r="I957" s="23"/>
    </row>
    <row r="958" spans="1:9" ht="14.45" customHeight="1">
      <c r="A958" s="35"/>
      <c r="B958" s="25">
        <v>28</v>
      </c>
      <c r="C958" s="26" t="str">
        <f>IF('Fee Receipt (Class-wise)'!C1708="", "", 'Fee Receipt (Class-wise)'!C1708)</f>
        <v/>
      </c>
      <c r="D958" s="25" t="str">
        <f>'Fee Receipt (Class-wise)'!K1708</f>
        <v/>
      </c>
      <c r="E958" s="23"/>
      <c r="F958" s="25">
        <v>58</v>
      </c>
      <c r="G958" s="26" t="str">
        <f>IF('Fee Receipt (Class-wise)'!C1738="", "", 'Fee Receipt (Class-wise)'!C1738)</f>
        <v/>
      </c>
      <c r="H958" s="25" t="str">
        <f>'Fee Receipt (Class-wise)'!K1738</f>
        <v/>
      </c>
      <c r="I958" s="23"/>
    </row>
    <row r="959" spans="1:9" ht="14.45" customHeight="1">
      <c r="A959" s="35"/>
      <c r="B959" s="25">
        <v>29</v>
      </c>
      <c r="C959" s="26" t="str">
        <f>IF('Fee Receipt (Class-wise)'!C1709="", "", 'Fee Receipt (Class-wise)'!C1709)</f>
        <v/>
      </c>
      <c r="D959" s="25" t="str">
        <f>'Fee Receipt (Class-wise)'!K1709</f>
        <v/>
      </c>
      <c r="E959" s="23"/>
      <c r="F959" s="25">
        <v>59</v>
      </c>
      <c r="G959" s="26" t="str">
        <f>IF('Fee Receipt (Class-wise)'!C1739="", "", 'Fee Receipt (Class-wise)'!C1739)</f>
        <v/>
      </c>
      <c r="H959" s="25" t="str">
        <f>'Fee Receipt (Class-wise)'!K1739</f>
        <v/>
      </c>
      <c r="I959" s="23"/>
    </row>
    <row r="960" spans="1:9" ht="14.45" customHeight="1">
      <c r="A960" s="35"/>
      <c r="B960" s="25">
        <v>30</v>
      </c>
      <c r="C960" s="26" t="str">
        <f>IF('Fee Receipt (Class-wise)'!C1710="", "", 'Fee Receipt (Class-wise)'!C1710)</f>
        <v/>
      </c>
      <c r="D960" s="25" t="str">
        <f>'Fee Receipt (Class-wise)'!K1710</f>
        <v/>
      </c>
      <c r="E960" s="23"/>
      <c r="F960" s="25">
        <v>60</v>
      </c>
      <c r="G960" s="26" t="str">
        <f>IF('Fee Receipt (Class-wise)'!C1740="", "", 'Fee Receipt (Class-wise)'!C1740)</f>
        <v/>
      </c>
      <c r="H960" s="25" t="str">
        <f>'Fee Receipt (Class-wise)'!K1740</f>
        <v/>
      </c>
      <c r="I960" s="23"/>
    </row>
    <row r="961" spans="1:9" ht="14.45" customHeight="1">
      <c r="A961" s="35"/>
      <c r="B961" s="25"/>
      <c r="C961" s="23"/>
      <c r="D961" s="23"/>
      <c r="E961" s="23"/>
      <c r="F961" s="33" t="s">
        <v>31</v>
      </c>
      <c r="G961" s="33"/>
      <c r="H961" s="24">
        <f>SUM(D931:D960)+SUM(H931:H960)</f>
        <v>0</v>
      </c>
      <c r="I961" s="23"/>
    </row>
    <row r="962" spans="1:9" ht="14.45" customHeight="1">
      <c r="B962" s="23"/>
      <c r="C962" s="23"/>
      <c r="D962" s="23"/>
      <c r="E962" s="23"/>
      <c r="F962" s="23"/>
      <c r="G962" s="23"/>
      <c r="H962" s="23"/>
      <c r="I962" s="23"/>
    </row>
    <row r="963" spans="1:9" ht="14.45" customHeight="1">
      <c r="B963" s="23"/>
      <c r="C963" s="23"/>
      <c r="D963" s="23"/>
      <c r="E963" s="23"/>
      <c r="F963" s="23"/>
      <c r="G963" s="23"/>
      <c r="H963" s="23"/>
      <c r="I963" s="23"/>
    </row>
    <row r="964" spans="1:9" ht="14.45" customHeight="1">
      <c r="A964" s="49">
        <v>27</v>
      </c>
      <c r="B964" s="35" t="s">
        <v>33</v>
      </c>
      <c r="C964" s="35"/>
      <c r="D964" s="35"/>
      <c r="E964" s="35"/>
      <c r="F964" s="35"/>
      <c r="G964" s="35"/>
      <c r="H964" s="24" t="s">
        <v>36</v>
      </c>
      <c r="I964" s="23"/>
    </row>
    <row r="965" spans="1:9" ht="14.45" customHeight="1">
      <c r="A965" s="49"/>
      <c r="B965" s="23" t="s">
        <v>35</v>
      </c>
      <c r="C965" s="50" t="str">
        <f>IF('Fee Receipt (Class-wise)'!C1745="", "", 'Fee Receipt (Class-wise)'!C1745)</f>
        <v/>
      </c>
      <c r="D965" s="50"/>
      <c r="E965" s="23"/>
      <c r="F965" s="23"/>
      <c r="G965" s="23"/>
      <c r="H965" s="49" t="str">
        <f>IF(C965="", "", H998)</f>
        <v/>
      </c>
      <c r="I965" s="23"/>
    </row>
    <row r="966" spans="1:9" ht="14.45" customHeight="1">
      <c r="A966" s="49"/>
      <c r="B966" s="23" t="s">
        <v>34</v>
      </c>
      <c r="C966" s="50" t="str">
        <f>IF(C965="", "", 'Fee Receipt (Class-wise)'!$H$2)</f>
        <v/>
      </c>
      <c r="D966" s="50"/>
      <c r="E966" s="23"/>
      <c r="F966" s="23"/>
      <c r="G966" s="23"/>
      <c r="H966" s="49"/>
      <c r="I966" s="23"/>
    </row>
    <row r="967" spans="1:9" ht="14.45" customHeight="1">
      <c r="A967" s="35"/>
      <c r="B967" s="25" t="s">
        <v>1</v>
      </c>
      <c r="C967" s="25" t="s">
        <v>2</v>
      </c>
      <c r="D967" s="25" t="s">
        <v>9</v>
      </c>
      <c r="E967" s="23"/>
      <c r="F967" s="25" t="s">
        <v>1</v>
      </c>
      <c r="G967" s="25" t="s">
        <v>2</v>
      </c>
      <c r="H967" s="25" t="s">
        <v>9</v>
      </c>
      <c r="I967" s="23"/>
    </row>
    <row r="968" spans="1:9" ht="14.45" customHeight="1">
      <c r="A968" s="35"/>
      <c r="B968" s="25">
        <v>1</v>
      </c>
      <c r="C968" s="26" t="str">
        <f>IF('Fee Receipt (Class-wise)'!C1748="", "", 'Fee Receipt (Class-wise)'!C1748)</f>
        <v/>
      </c>
      <c r="D968" s="25" t="str">
        <f>'Fee Receipt (Class-wise)'!K1748</f>
        <v/>
      </c>
      <c r="E968" s="23"/>
      <c r="F968" s="25">
        <v>31</v>
      </c>
      <c r="G968" s="26" t="str">
        <f>IF('Fee Receipt (Class-wise)'!C1778="", "", 'Fee Receipt (Class-wise)'!C1778)</f>
        <v/>
      </c>
      <c r="H968" s="25" t="str">
        <f>'Fee Receipt (Class-wise)'!K1778</f>
        <v/>
      </c>
      <c r="I968" s="23"/>
    </row>
    <row r="969" spans="1:9" ht="14.45" customHeight="1">
      <c r="A969" s="35"/>
      <c r="B969" s="25">
        <v>2</v>
      </c>
      <c r="C969" s="26" t="str">
        <f>IF('Fee Receipt (Class-wise)'!C1749="", "", 'Fee Receipt (Class-wise)'!C1749)</f>
        <v/>
      </c>
      <c r="D969" s="25" t="str">
        <f>'Fee Receipt (Class-wise)'!K1749</f>
        <v/>
      </c>
      <c r="E969" s="23"/>
      <c r="F969" s="25">
        <v>32</v>
      </c>
      <c r="G969" s="26" t="str">
        <f>IF('Fee Receipt (Class-wise)'!C1779="", "", 'Fee Receipt (Class-wise)'!C1779)</f>
        <v/>
      </c>
      <c r="H969" s="25" t="str">
        <f>'Fee Receipt (Class-wise)'!K1779</f>
        <v/>
      </c>
      <c r="I969" s="23"/>
    </row>
    <row r="970" spans="1:9" ht="14.45" customHeight="1">
      <c r="A970" s="35"/>
      <c r="B970" s="25">
        <v>3</v>
      </c>
      <c r="C970" s="26" t="str">
        <f>IF('Fee Receipt (Class-wise)'!C1750="", "", 'Fee Receipt (Class-wise)'!C1750)</f>
        <v/>
      </c>
      <c r="D970" s="25" t="str">
        <f>'Fee Receipt (Class-wise)'!K1750</f>
        <v/>
      </c>
      <c r="E970" s="23"/>
      <c r="F970" s="25">
        <v>33</v>
      </c>
      <c r="G970" s="26" t="str">
        <f>IF('Fee Receipt (Class-wise)'!C1780="", "", 'Fee Receipt (Class-wise)'!C1780)</f>
        <v/>
      </c>
      <c r="H970" s="25" t="str">
        <f>'Fee Receipt (Class-wise)'!K1780</f>
        <v/>
      </c>
      <c r="I970" s="23"/>
    </row>
    <row r="971" spans="1:9" ht="14.45" customHeight="1">
      <c r="A971" s="35"/>
      <c r="B971" s="25">
        <v>4</v>
      </c>
      <c r="C971" s="26" t="str">
        <f>IF('Fee Receipt (Class-wise)'!C1751="", "", 'Fee Receipt (Class-wise)'!C1751)</f>
        <v/>
      </c>
      <c r="D971" s="25" t="str">
        <f>'Fee Receipt (Class-wise)'!K1751</f>
        <v/>
      </c>
      <c r="E971" s="23"/>
      <c r="F971" s="25">
        <v>34</v>
      </c>
      <c r="G971" s="26" t="str">
        <f>IF('Fee Receipt (Class-wise)'!C1781="", "", 'Fee Receipt (Class-wise)'!C1781)</f>
        <v/>
      </c>
      <c r="H971" s="25" t="str">
        <f>'Fee Receipt (Class-wise)'!K1781</f>
        <v/>
      </c>
      <c r="I971" s="23"/>
    </row>
    <row r="972" spans="1:9" ht="14.45" customHeight="1">
      <c r="A972" s="35"/>
      <c r="B972" s="25">
        <v>5</v>
      </c>
      <c r="C972" s="26" t="str">
        <f>IF('Fee Receipt (Class-wise)'!C1752="", "", 'Fee Receipt (Class-wise)'!C1752)</f>
        <v/>
      </c>
      <c r="D972" s="25" t="str">
        <f>'Fee Receipt (Class-wise)'!K1752</f>
        <v/>
      </c>
      <c r="E972" s="23"/>
      <c r="F972" s="25">
        <v>35</v>
      </c>
      <c r="G972" s="26" t="str">
        <f>IF('Fee Receipt (Class-wise)'!C1782="", "", 'Fee Receipt (Class-wise)'!C1782)</f>
        <v/>
      </c>
      <c r="H972" s="25" t="str">
        <f>'Fee Receipt (Class-wise)'!K1782</f>
        <v/>
      </c>
      <c r="I972" s="23"/>
    </row>
    <row r="973" spans="1:9" ht="14.45" customHeight="1">
      <c r="A973" s="35"/>
      <c r="B973" s="25">
        <v>6</v>
      </c>
      <c r="C973" s="26" t="str">
        <f>IF('Fee Receipt (Class-wise)'!C1753="", "", 'Fee Receipt (Class-wise)'!C1753)</f>
        <v/>
      </c>
      <c r="D973" s="25" t="str">
        <f>'Fee Receipt (Class-wise)'!K1753</f>
        <v/>
      </c>
      <c r="E973" s="23"/>
      <c r="F973" s="25">
        <v>36</v>
      </c>
      <c r="G973" s="26" t="str">
        <f>IF('Fee Receipt (Class-wise)'!C1783="", "", 'Fee Receipt (Class-wise)'!C1783)</f>
        <v/>
      </c>
      <c r="H973" s="25" t="str">
        <f>'Fee Receipt (Class-wise)'!K1783</f>
        <v/>
      </c>
      <c r="I973" s="23"/>
    </row>
    <row r="974" spans="1:9" ht="14.45" customHeight="1">
      <c r="A974" s="35"/>
      <c r="B974" s="25">
        <v>7</v>
      </c>
      <c r="C974" s="26" t="str">
        <f>IF('Fee Receipt (Class-wise)'!C1754="", "", 'Fee Receipt (Class-wise)'!C1754)</f>
        <v/>
      </c>
      <c r="D974" s="25" t="str">
        <f>'Fee Receipt (Class-wise)'!K1754</f>
        <v/>
      </c>
      <c r="E974" s="23"/>
      <c r="F974" s="25">
        <v>37</v>
      </c>
      <c r="G974" s="26" t="str">
        <f>IF('Fee Receipt (Class-wise)'!C1784="", "", 'Fee Receipt (Class-wise)'!C1784)</f>
        <v/>
      </c>
      <c r="H974" s="25" t="str">
        <f>'Fee Receipt (Class-wise)'!K1784</f>
        <v/>
      </c>
      <c r="I974" s="23"/>
    </row>
    <row r="975" spans="1:9" ht="14.45" customHeight="1">
      <c r="A975" s="35"/>
      <c r="B975" s="25">
        <v>8</v>
      </c>
      <c r="C975" s="26" t="str">
        <f>IF('Fee Receipt (Class-wise)'!C1755="", "", 'Fee Receipt (Class-wise)'!C1755)</f>
        <v/>
      </c>
      <c r="D975" s="25" t="str">
        <f>'Fee Receipt (Class-wise)'!K1755</f>
        <v/>
      </c>
      <c r="E975" s="23"/>
      <c r="F975" s="25">
        <v>38</v>
      </c>
      <c r="G975" s="26" t="str">
        <f>IF('Fee Receipt (Class-wise)'!C1785="", "", 'Fee Receipt (Class-wise)'!C1785)</f>
        <v/>
      </c>
      <c r="H975" s="25" t="str">
        <f>'Fee Receipt (Class-wise)'!K1785</f>
        <v/>
      </c>
      <c r="I975" s="23"/>
    </row>
    <row r="976" spans="1:9" ht="14.45" customHeight="1">
      <c r="A976" s="35"/>
      <c r="B976" s="25">
        <v>9</v>
      </c>
      <c r="C976" s="26" t="str">
        <f>IF('Fee Receipt (Class-wise)'!C1756="", "", 'Fee Receipt (Class-wise)'!C1756)</f>
        <v/>
      </c>
      <c r="D976" s="25" t="str">
        <f>'Fee Receipt (Class-wise)'!K1756</f>
        <v/>
      </c>
      <c r="E976" s="23"/>
      <c r="F976" s="25">
        <v>39</v>
      </c>
      <c r="G976" s="26" t="str">
        <f>IF('Fee Receipt (Class-wise)'!C1786="", "", 'Fee Receipt (Class-wise)'!C1786)</f>
        <v/>
      </c>
      <c r="H976" s="25" t="str">
        <f>'Fee Receipt (Class-wise)'!K1786</f>
        <v/>
      </c>
      <c r="I976" s="23"/>
    </row>
    <row r="977" spans="1:9" ht="14.45" customHeight="1">
      <c r="A977" s="35"/>
      <c r="B977" s="25">
        <v>10</v>
      </c>
      <c r="C977" s="26" t="str">
        <f>IF('Fee Receipt (Class-wise)'!C1757="", "", 'Fee Receipt (Class-wise)'!C1757)</f>
        <v/>
      </c>
      <c r="D977" s="25" t="str">
        <f>'Fee Receipt (Class-wise)'!K1757</f>
        <v/>
      </c>
      <c r="E977" s="23"/>
      <c r="F977" s="25">
        <v>40</v>
      </c>
      <c r="G977" s="26" t="str">
        <f>IF('Fee Receipt (Class-wise)'!C1787="", "", 'Fee Receipt (Class-wise)'!C1787)</f>
        <v/>
      </c>
      <c r="H977" s="25" t="str">
        <f>'Fee Receipt (Class-wise)'!K1787</f>
        <v/>
      </c>
      <c r="I977" s="23"/>
    </row>
    <row r="978" spans="1:9" ht="14.45" customHeight="1">
      <c r="A978" s="35"/>
      <c r="B978" s="25">
        <v>11</v>
      </c>
      <c r="C978" s="26" t="str">
        <f>IF('Fee Receipt (Class-wise)'!C1758="", "", 'Fee Receipt (Class-wise)'!C1758)</f>
        <v/>
      </c>
      <c r="D978" s="25" t="str">
        <f>'Fee Receipt (Class-wise)'!K1758</f>
        <v/>
      </c>
      <c r="E978" s="23"/>
      <c r="F978" s="25">
        <v>41</v>
      </c>
      <c r="G978" s="26" t="str">
        <f>IF('Fee Receipt (Class-wise)'!C1788="", "", 'Fee Receipt (Class-wise)'!C1788)</f>
        <v/>
      </c>
      <c r="H978" s="25" t="str">
        <f>'Fee Receipt (Class-wise)'!K1788</f>
        <v/>
      </c>
      <c r="I978" s="23"/>
    </row>
    <row r="979" spans="1:9" ht="14.45" customHeight="1">
      <c r="A979" s="35"/>
      <c r="B979" s="25">
        <v>12</v>
      </c>
      <c r="C979" s="26" t="str">
        <f>IF('Fee Receipt (Class-wise)'!C1759="", "", 'Fee Receipt (Class-wise)'!C1759)</f>
        <v/>
      </c>
      <c r="D979" s="25" t="str">
        <f>'Fee Receipt (Class-wise)'!K1759</f>
        <v/>
      </c>
      <c r="E979" s="23"/>
      <c r="F979" s="25">
        <v>42</v>
      </c>
      <c r="G979" s="26" t="str">
        <f>IF('Fee Receipt (Class-wise)'!C1789="", "", 'Fee Receipt (Class-wise)'!C1789)</f>
        <v/>
      </c>
      <c r="H979" s="25" t="str">
        <f>'Fee Receipt (Class-wise)'!K1789</f>
        <v/>
      </c>
      <c r="I979" s="23"/>
    </row>
    <row r="980" spans="1:9" ht="14.45" customHeight="1">
      <c r="A980" s="35"/>
      <c r="B980" s="25">
        <v>13</v>
      </c>
      <c r="C980" s="26" t="str">
        <f>IF('Fee Receipt (Class-wise)'!C1760="", "", 'Fee Receipt (Class-wise)'!C1760)</f>
        <v/>
      </c>
      <c r="D980" s="25" t="str">
        <f>'Fee Receipt (Class-wise)'!K1760</f>
        <v/>
      </c>
      <c r="E980" s="23"/>
      <c r="F980" s="25">
        <v>43</v>
      </c>
      <c r="G980" s="26" t="str">
        <f>IF('Fee Receipt (Class-wise)'!C1790="", "", 'Fee Receipt (Class-wise)'!C1790)</f>
        <v/>
      </c>
      <c r="H980" s="25" t="str">
        <f>'Fee Receipt (Class-wise)'!K1790</f>
        <v/>
      </c>
      <c r="I980" s="23"/>
    </row>
    <row r="981" spans="1:9" ht="14.45" customHeight="1">
      <c r="A981" s="35"/>
      <c r="B981" s="25">
        <v>14</v>
      </c>
      <c r="C981" s="26" t="str">
        <f>IF('Fee Receipt (Class-wise)'!C1761="", "", 'Fee Receipt (Class-wise)'!C1761)</f>
        <v/>
      </c>
      <c r="D981" s="25" t="str">
        <f>'Fee Receipt (Class-wise)'!K1761</f>
        <v/>
      </c>
      <c r="E981" s="23"/>
      <c r="F981" s="25">
        <v>44</v>
      </c>
      <c r="G981" s="26" t="str">
        <f>IF('Fee Receipt (Class-wise)'!C1791="", "", 'Fee Receipt (Class-wise)'!C1791)</f>
        <v/>
      </c>
      <c r="H981" s="25" t="str">
        <f>'Fee Receipt (Class-wise)'!K1791</f>
        <v/>
      </c>
      <c r="I981" s="23"/>
    </row>
    <row r="982" spans="1:9" ht="14.45" customHeight="1">
      <c r="A982" s="35"/>
      <c r="B982" s="25">
        <v>15</v>
      </c>
      <c r="C982" s="26" t="str">
        <f>IF('Fee Receipt (Class-wise)'!C1762="", "", 'Fee Receipt (Class-wise)'!C1762)</f>
        <v/>
      </c>
      <c r="D982" s="25" t="str">
        <f>'Fee Receipt (Class-wise)'!K1762</f>
        <v/>
      </c>
      <c r="E982" s="23"/>
      <c r="F982" s="25">
        <v>45</v>
      </c>
      <c r="G982" s="26" t="str">
        <f>IF('Fee Receipt (Class-wise)'!C1792="", "", 'Fee Receipt (Class-wise)'!C1792)</f>
        <v/>
      </c>
      <c r="H982" s="25" t="str">
        <f>'Fee Receipt (Class-wise)'!K1792</f>
        <v/>
      </c>
      <c r="I982" s="23"/>
    </row>
    <row r="983" spans="1:9" ht="14.45" customHeight="1">
      <c r="A983" s="35"/>
      <c r="B983" s="25">
        <v>16</v>
      </c>
      <c r="C983" s="26" t="str">
        <f>IF('Fee Receipt (Class-wise)'!C1763="", "", 'Fee Receipt (Class-wise)'!C1763)</f>
        <v/>
      </c>
      <c r="D983" s="25" t="str">
        <f>'Fee Receipt (Class-wise)'!K1763</f>
        <v/>
      </c>
      <c r="E983" s="23"/>
      <c r="F983" s="25">
        <v>46</v>
      </c>
      <c r="G983" s="26" t="str">
        <f>IF('Fee Receipt (Class-wise)'!C1793="", "", 'Fee Receipt (Class-wise)'!C1793)</f>
        <v/>
      </c>
      <c r="H983" s="25" t="str">
        <f>'Fee Receipt (Class-wise)'!K1793</f>
        <v/>
      </c>
      <c r="I983" s="23"/>
    </row>
    <row r="984" spans="1:9" ht="14.45" customHeight="1">
      <c r="A984" s="35"/>
      <c r="B984" s="25">
        <v>17</v>
      </c>
      <c r="C984" s="26" t="str">
        <f>IF('Fee Receipt (Class-wise)'!C1764="", "", 'Fee Receipt (Class-wise)'!C1764)</f>
        <v/>
      </c>
      <c r="D984" s="25" t="str">
        <f>'Fee Receipt (Class-wise)'!K1764</f>
        <v/>
      </c>
      <c r="E984" s="23"/>
      <c r="F984" s="25">
        <v>47</v>
      </c>
      <c r="G984" s="26" t="str">
        <f>IF('Fee Receipt (Class-wise)'!C1794="", "", 'Fee Receipt (Class-wise)'!C1794)</f>
        <v/>
      </c>
      <c r="H984" s="25" t="str">
        <f>'Fee Receipt (Class-wise)'!K1794</f>
        <v/>
      </c>
      <c r="I984" s="23"/>
    </row>
    <row r="985" spans="1:9" ht="14.45" customHeight="1">
      <c r="A985" s="35"/>
      <c r="B985" s="25">
        <v>18</v>
      </c>
      <c r="C985" s="26" t="str">
        <f>IF('Fee Receipt (Class-wise)'!C1765="", "", 'Fee Receipt (Class-wise)'!C1765)</f>
        <v/>
      </c>
      <c r="D985" s="25" t="str">
        <f>'Fee Receipt (Class-wise)'!K1765</f>
        <v/>
      </c>
      <c r="E985" s="23"/>
      <c r="F985" s="25">
        <v>48</v>
      </c>
      <c r="G985" s="26" t="str">
        <f>IF('Fee Receipt (Class-wise)'!C1795="", "", 'Fee Receipt (Class-wise)'!C1795)</f>
        <v/>
      </c>
      <c r="H985" s="25" t="str">
        <f>'Fee Receipt (Class-wise)'!K1795</f>
        <v/>
      </c>
      <c r="I985" s="23"/>
    </row>
    <row r="986" spans="1:9" ht="14.45" customHeight="1">
      <c r="A986" s="35"/>
      <c r="B986" s="25">
        <v>19</v>
      </c>
      <c r="C986" s="26" t="str">
        <f>IF('Fee Receipt (Class-wise)'!C1766="", "", 'Fee Receipt (Class-wise)'!C1766)</f>
        <v/>
      </c>
      <c r="D986" s="25" t="str">
        <f>'Fee Receipt (Class-wise)'!K1766</f>
        <v/>
      </c>
      <c r="E986" s="23"/>
      <c r="F986" s="25">
        <v>49</v>
      </c>
      <c r="G986" s="26" t="str">
        <f>IF('Fee Receipt (Class-wise)'!C1796="", "", 'Fee Receipt (Class-wise)'!C1796)</f>
        <v/>
      </c>
      <c r="H986" s="25" t="str">
        <f>'Fee Receipt (Class-wise)'!K1796</f>
        <v/>
      </c>
      <c r="I986" s="23"/>
    </row>
    <row r="987" spans="1:9" ht="14.45" customHeight="1">
      <c r="A987" s="35"/>
      <c r="B987" s="25">
        <v>20</v>
      </c>
      <c r="C987" s="26" t="str">
        <f>IF('Fee Receipt (Class-wise)'!C1767="", "", 'Fee Receipt (Class-wise)'!C1767)</f>
        <v/>
      </c>
      <c r="D987" s="25" t="str">
        <f>'Fee Receipt (Class-wise)'!K1767</f>
        <v/>
      </c>
      <c r="E987" s="23"/>
      <c r="F987" s="25">
        <v>50</v>
      </c>
      <c r="G987" s="26" t="str">
        <f>IF('Fee Receipt (Class-wise)'!C1797="", "", 'Fee Receipt (Class-wise)'!C1797)</f>
        <v/>
      </c>
      <c r="H987" s="25" t="str">
        <f>'Fee Receipt (Class-wise)'!K1797</f>
        <v/>
      </c>
      <c r="I987" s="23"/>
    </row>
    <row r="988" spans="1:9" ht="14.45" customHeight="1">
      <c r="A988" s="35"/>
      <c r="B988" s="25">
        <v>21</v>
      </c>
      <c r="C988" s="26" t="str">
        <f>IF('Fee Receipt (Class-wise)'!C1768="", "", 'Fee Receipt (Class-wise)'!C1768)</f>
        <v/>
      </c>
      <c r="D988" s="25" t="str">
        <f>'Fee Receipt (Class-wise)'!K1768</f>
        <v/>
      </c>
      <c r="E988" s="23"/>
      <c r="F988" s="25">
        <v>51</v>
      </c>
      <c r="G988" s="26" t="str">
        <f>IF('Fee Receipt (Class-wise)'!C1798="", "", 'Fee Receipt (Class-wise)'!C1798)</f>
        <v/>
      </c>
      <c r="H988" s="25" t="str">
        <f>'Fee Receipt (Class-wise)'!K1798</f>
        <v/>
      </c>
      <c r="I988" s="23"/>
    </row>
    <row r="989" spans="1:9" ht="14.45" customHeight="1">
      <c r="A989" s="35"/>
      <c r="B989" s="25">
        <v>22</v>
      </c>
      <c r="C989" s="26" t="str">
        <f>IF('Fee Receipt (Class-wise)'!C1769="", "", 'Fee Receipt (Class-wise)'!C1769)</f>
        <v/>
      </c>
      <c r="D989" s="25" t="str">
        <f>'Fee Receipt (Class-wise)'!K1769</f>
        <v/>
      </c>
      <c r="E989" s="23"/>
      <c r="F989" s="25">
        <v>52</v>
      </c>
      <c r="G989" s="26" t="str">
        <f>IF('Fee Receipt (Class-wise)'!C1799="", "", 'Fee Receipt (Class-wise)'!C1799)</f>
        <v/>
      </c>
      <c r="H989" s="25" t="str">
        <f>'Fee Receipt (Class-wise)'!K1799</f>
        <v/>
      </c>
      <c r="I989" s="23"/>
    </row>
    <row r="990" spans="1:9" ht="14.45" customHeight="1">
      <c r="A990" s="35"/>
      <c r="B990" s="25">
        <v>23</v>
      </c>
      <c r="C990" s="26" t="str">
        <f>IF('Fee Receipt (Class-wise)'!C1770="", "", 'Fee Receipt (Class-wise)'!C1770)</f>
        <v/>
      </c>
      <c r="D990" s="25" t="str">
        <f>'Fee Receipt (Class-wise)'!K1770</f>
        <v/>
      </c>
      <c r="E990" s="23"/>
      <c r="F990" s="25">
        <v>53</v>
      </c>
      <c r="G990" s="26" t="str">
        <f>IF('Fee Receipt (Class-wise)'!C1800="", "", 'Fee Receipt (Class-wise)'!C1800)</f>
        <v/>
      </c>
      <c r="H990" s="25" t="str">
        <f>'Fee Receipt (Class-wise)'!K1800</f>
        <v/>
      </c>
      <c r="I990" s="23"/>
    </row>
    <row r="991" spans="1:9" ht="14.45" customHeight="1">
      <c r="A991" s="35"/>
      <c r="B991" s="25">
        <v>24</v>
      </c>
      <c r="C991" s="26" t="str">
        <f>IF('Fee Receipt (Class-wise)'!C1771="", "", 'Fee Receipt (Class-wise)'!C1771)</f>
        <v/>
      </c>
      <c r="D991" s="25" t="str">
        <f>'Fee Receipt (Class-wise)'!K1771</f>
        <v/>
      </c>
      <c r="E991" s="23"/>
      <c r="F991" s="25">
        <v>54</v>
      </c>
      <c r="G991" s="26" t="str">
        <f>IF('Fee Receipt (Class-wise)'!C1801="", "", 'Fee Receipt (Class-wise)'!C1801)</f>
        <v/>
      </c>
      <c r="H991" s="25" t="str">
        <f>'Fee Receipt (Class-wise)'!K1801</f>
        <v/>
      </c>
      <c r="I991" s="23"/>
    </row>
    <row r="992" spans="1:9" ht="14.45" customHeight="1">
      <c r="A992" s="35"/>
      <c r="B992" s="25">
        <v>25</v>
      </c>
      <c r="C992" s="26" t="str">
        <f>IF('Fee Receipt (Class-wise)'!C1772="", "", 'Fee Receipt (Class-wise)'!C1772)</f>
        <v/>
      </c>
      <c r="D992" s="25" t="str">
        <f>'Fee Receipt (Class-wise)'!K1772</f>
        <v/>
      </c>
      <c r="E992" s="23"/>
      <c r="F992" s="25">
        <v>55</v>
      </c>
      <c r="G992" s="26" t="str">
        <f>IF('Fee Receipt (Class-wise)'!C1802="", "", 'Fee Receipt (Class-wise)'!C1802)</f>
        <v/>
      </c>
      <c r="H992" s="25" t="str">
        <f>'Fee Receipt (Class-wise)'!K1802</f>
        <v/>
      </c>
      <c r="I992" s="23"/>
    </row>
    <row r="993" spans="1:9" ht="14.45" customHeight="1">
      <c r="A993" s="35"/>
      <c r="B993" s="25">
        <v>26</v>
      </c>
      <c r="C993" s="26" t="str">
        <f>IF('Fee Receipt (Class-wise)'!C1773="", "", 'Fee Receipt (Class-wise)'!C1773)</f>
        <v/>
      </c>
      <c r="D993" s="25" t="str">
        <f>'Fee Receipt (Class-wise)'!K1773</f>
        <v/>
      </c>
      <c r="E993" s="23"/>
      <c r="F993" s="25">
        <v>56</v>
      </c>
      <c r="G993" s="26" t="str">
        <f>IF('Fee Receipt (Class-wise)'!C1803="", "", 'Fee Receipt (Class-wise)'!C1803)</f>
        <v/>
      </c>
      <c r="H993" s="25" t="str">
        <f>'Fee Receipt (Class-wise)'!K1803</f>
        <v/>
      </c>
      <c r="I993" s="23"/>
    </row>
    <row r="994" spans="1:9" ht="14.45" customHeight="1">
      <c r="A994" s="35"/>
      <c r="B994" s="25">
        <v>27</v>
      </c>
      <c r="C994" s="26" t="str">
        <f>IF('Fee Receipt (Class-wise)'!C1774="", "", 'Fee Receipt (Class-wise)'!C1774)</f>
        <v/>
      </c>
      <c r="D994" s="25" t="str">
        <f>'Fee Receipt (Class-wise)'!K1774</f>
        <v/>
      </c>
      <c r="E994" s="23"/>
      <c r="F994" s="25">
        <v>57</v>
      </c>
      <c r="G994" s="26" t="str">
        <f>IF('Fee Receipt (Class-wise)'!C1804="", "", 'Fee Receipt (Class-wise)'!C1804)</f>
        <v/>
      </c>
      <c r="H994" s="25" t="str">
        <f>'Fee Receipt (Class-wise)'!K1804</f>
        <v/>
      </c>
      <c r="I994" s="23"/>
    </row>
    <row r="995" spans="1:9" ht="14.45" customHeight="1">
      <c r="A995" s="35"/>
      <c r="B995" s="25">
        <v>28</v>
      </c>
      <c r="C995" s="26" t="str">
        <f>IF('Fee Receipt (Class-wise)'!C1775="", "", 'Fee Receipt (Class-wise)'!C1775)</f>
        <v/>
      </c>
      <c r="D995" s="25" t="str">
        <f>'Fee Receipt (Class-wise)'!K1775</f>
        <v/>
      </c>
      <c r="E995" s="23"/>
      <c r="F995" s="25">
        <v>58</v>
      </c>
      <c r="G995" s="26" t="str">
        <f>IF('Fee Receipt (Class-wise)'!C1805="", "", 'Fee Receipt (Class-wise)'!C1805)</f>
        <v/>
      </c>
      <c r="H995" s="25" t="str">
        <f>'Fee Receipt (Class-wise)'!K1805</f>
        <v/>
      </c>
      <c r="I995" s="23"/>
    </row>
    <row r="996" spans="1:9" ht="14.45" customHeight="1">
      <c r="A996" s="35"/>
      <c r="B996" s="25">
        <v>29</v>
      </c>
      <c r="C996" s="26" t="str">
        <f>IF('Fee Receipt (Class-wise)'!C1776="", "", 'Fee Receipt (Class-wise)'!C1776)</f>
        <v/>
      </c>
      <c r="D996" s="25" t="str">
        <f>'Fee Receipt (Class-wise)'!K1776</f>
        <v/>
      </c>
      <c r="E996" s="23"/>
      <c r="F996" s="25">
        <v>59</v>
      </c>
      <c r="G996" s="26" t="str">
        <f>IF('Fee Receipt (Class-wise)'!C1806="", "", 'Fee Receipt (Class-wise)'!C1806)</f>
        <v/>
      </c>
      <c r="H996" s="25" t="str">
        <f>'Fee Receipt (Class-wise)'!K1806</f>
        <v/>
      </c>
      <c r="I996" s="23"/>
    </row>
    <row r="997" spans="1:9" ht="14.45" customHeight="1">
      <c r="A997" s="35"/>
      <c r="B997" s="25">
        <v>30</v>
      </c>
      <c r="C997" s="26" t="str">
        <f>IF('Fee Receipt (Class-wise)'!C1777="", "", 'Fee Receipt (Class-wise)'!C1777)</f>
        <v/>
      </c>
      <c r="D997" s="25" t="str">
        <f>'Fee Receipt (Class-wise)'!K1777</f>
        <v/>
      </c>
      <c r="E997" s="23"/>
      <c r="F997" s="25">
        <v>60</v>
      </c>
      <c r="G997" s="26" t="str">
        <f>IF('Fee Receipt (Class-wise)'!C1807="", "", 'Fee Receipt (Class-wise)'!C1807)</f>
        <v/>
      </c>
      <c r="H997" s="25" t="str">
        <f>'Fee Receipt (Class-wise)'!K1807</f>
        <v/>
      </c>
      <c r="I997" s="23"/>
    </row>
    <row r="998" spans="1:9" ht="14.45" customHeight="1">
      <c r="A998" s="35"/>
      <c r="B998" s="25"/>
      <c r="C998" s="23"/>
      <c r="D998" s="23"/>
      <c r="E998" s="23"/>
      <c r="F998" s="33" t="s">
        <v>31</v>
      </c>
      <c r="G998" s="33"/>
      <c r="H998" s="24">
        <f>SUM(D968:D997)+SUM(H968:H997)</f>
        <v>0</v>
      </c>
      <c r="I998" s="23"/>
    </row>
    <row r="999" spans="1:9" ht="14.45" customHeight="1">
      <c r="B999" s="23"/>
      <c r="C999" s="23"/>
      <c r="D999" s="23"/>
      <c r="E999" s="23"/>
      <c r="F999" s="23"/>
      <c r="G999" s="23"/>
      <c r="H999" s="23"/>
      <c r="I999" s="23"/>
    </row>
    <row r="1000" spans="1:9" ht="14.45" customHeight="1">
      <c r="B1000" s="23"/>
      <c r="C1000" s="23"/>
      <c r="D1000" s="23"/>
      <c r="E1000" s="23"/>
      <c r="F1000" s="23"/>
      <c r="G1000" s="23"/>
      <c r="H1000" s="23"/>
      <c r="I1000" s="23"/>
    </row>
    <row r="1001" spans="1:9" ht="14.45" customHeight="1">
      <c r="A1001" s="49">
        <v>28</v>
      </c>
      <c r="B1001" s="35" t="s">
        <v>33</v>
      </c>
      <c r="C1001" s="35"/>
      <c r="D1001" s="35"/>
      <c r="E1001" s="35"/>
      <c r="F1001" s="35"/>
      <c r="G1001" s="35"/>
      <c r="H1001" s="24" t="s">
        <v>36</v>
      </c>
      <c r="I1001" s="23"/>
    </row>
    <row r="1002" spans="1:9" ht="14.45" customHeight="1">
      <c r="A1002" s="49"/>
      <c r="B1002" s="23" t="s">
        <v>35</v>
      </c>
      <c r="C1002" s="50" t="str">
        <f>IF('Fee Receipt (Class-wise)'!C1812="", "", 'Fee Receipt (Class-wise)'!C1812)</f>
        <v/>
      </c>
      <c r="D1002" s="50"/>
      <c r="E1002" s="23"/>
      <c r="F1002" s="23"/>
      <c r="G1002" s="23"/>
      <c r="H1002" s="49" t="str">
        <f>IF(C1002="", "", H1035)</f>
        <v/>
      </c>
      <c r="I1002" s="23"/>
    </row>
    <row r="1003" spans="1:9" ht="14.45" customHeight="1">
      <c r="A1003" s="49"/>
      <c r="B1003" s="23" t="s">
        <v>34</v>
      </c>
      <c r="C1003" s="50" t="str">
        <f>IF(C1002="", "", 'Fee Receipt (Class-wise)'!$H$2)</f>
        <v/>
      </c>
      <c r="D1003" s="50"/>
      <c r="E1003" s="23"/>
      <c r="F1003" s="23"/>
      <c r="G1003" s="23"/>
      <c r="H1003" s="49"/>
      <c r="I1003" s="23"/>
    </row>
    <row r="1004" spans="1:9" ht="14.45" customHeight="1">
      <c r="A1004" s="35"/>
      <c r="B1004" s="25" t="s">
        <v>1</v>
      </c>
      <c r="C1004" s="25" t="s">
        <v>2</v>
      </c>
      <c r="D1004" s="25" t="s">
        <v>9</v>
      </c>
      <c r="E1004" s="23"/>
      <c r="F1004" s="25" t="s">
        <v>1</v>
      </c>
      <c r="G1004" s="25" t="s">
        <v>2</v>
      </c>
      <c r="H1004" s="25" t="s">
        <v>9</v>
      </c>
      <c r="I1004" s="23"/>
    </row>
    <row r="1005" spans="1:9" ht="14.45" customHeight="1">
      <c r="A1005" s="35"/>
      <c r="B1005" s="25">
        <v>1</v>
      </c>
      <c r="C1005" s="26" t="str">
        <f>IF('Fee Receipt (Class-wise)'!C1815="", "", 'Fee Receipt (Class-wise)'!C1815)</f>
        <v/>
      </c>
      <c r="D1005" s="25" t="str">
        <f>'Fee Receipt (Class-wise)'!K1815</f>
        <v/>
      </c>
      <c r="E1005" s="23"/>
      <c r="F1005" s="25">
        <v>31</v>
      </c>
      <c r="G1005" s="26" t="str">
        <f>IF('Fee Receipt (Class-wise)'!C1845="", "", 'Fee Receipt (Class-wise)'!C1845)</f>
        <v/>
      </c>
      <c r="H1005" s="25" t="str">
        <f>'Fee Receipt (Class-wise)'!K1845</f>
        <v/>
      </c>
      <c r="I1005" s="23"/>
    </row>
    <row r="1006" spans="1:9" ht="14.45" customHeight="1">
      <c r="A1006" s="35"/>
      <c r="B1006" s="25">
        <v>2</v>
      </c>
      <c r="C1006" s="26" t="str">
        <f>IF('Fee Receipt (Class-wise)'!C1816="", "", 'Fee Receipt (Class-wise)'!C1816)</f>
        <v/>
      </c>
      <c r="D1006" s="25" t="str">
        <f>'Fee Receipt (Class-wise)'!K1816</f>
        <v/>
      </c>
      <c r="E1006" s="23"/>
      <c r="F1006" s="25">
        <v>32</v>
      </c>
      <c r="G1006" s="26" t="str">
        <f>IF('Fee Receipt (Class-wise)'!C1846="", "", 'Fee Receipt (Class-wise)'!C1846)</f>
        <v/>
      </c>
      <c r="H1006" s="25" t="str">
        <f>'Fee Receipt (Class-wise)'!K1846</f>
        <v/>
      </c>
      <c r="I1006" s="23"/>
    </row>
    <row r="1007" spans="1:9" ht="14.45" customHeight="1">
      <c r="A1007" s="35"/>
      <c r="B1007" s="25">
        <v>3</v>
      </c>
      <c r="C1007" s="26" t="str">
        <f>IF('Fee Receipt (Class-wise)'!C1817="", "", 'Fee Receipt (Class-wise)'!C1817)</f>
        <v/>
      </c>
      <c r="D1007" s="25" t="str">
        <f>'Fee Receipt (Class-wise)'!K1817</f>
        <v/>
      </c>
      <c r="E1007" s="23"/>
      <c r="F1007" s="25">
        <v>33</v>
      </c>
      <c r="G1007" s="26" t="str">
        <f>IF('Fee Receipt (Class-wise)'!C1847="", "", 'Fee Receipt (Class-wise)'!C1847)</f>
        <v/>
      </c>
      <c r="H1007" s="25" t="str">
        <f>'Fee Receipt (Class-wise)'!K1847</f>
        <v/>
      </c>
      <c r="I1007" s="23"/>
    </row>
    <row r="1008" spans="1:9" ht="14.45" customHeight="1">
      <c r="A1008" s="35"/>
      <c r="B1008" s="25">
        <v>4</v>
      </c>
      <c r="C1008" s="26" t="str">
        <f>IF('Fee Receipt (Class-wise)'!C1818="", "", 'Fee Receipt (Class-wise)'!C1818)</f>
        <v/>
      </c>
      <c r="D1008" s="25" t="str">
        <f>'Fee Receipt (Class-wise)'!K1818</f>
        <v/>
      </c>
      <c r="E1008" s="23"/>
      <c r="F1008" s="25">
        <v>34</v>
      </c>
      <c r="G1008" s="26" t="str">
        <f>IF('Fee Receipt (Class-wise)'!C1848="", "", 'Fee Receipt (Class-wise)'!C1848)</f>
        <v/>
      </c>
      <c r="H1008" s="25" t="str">
        <f>'Fee Receipt (Class-wise)'!K1848</f>
        <v/>
      </c>
      <c r="I1008" s="23"/>
    </row>
    <row r="1009" spans="1:9" ht="14.45" customHeight="1">
      <c r="A1009" s="35"/>
      <c r="B1009" s="25">
        <v>5</v>
      </c>
      <c r="C1009" s="26" t="str">
        <f>IF('Fee Receipt (Class-wise)'!C1819="", "", 'Fee Receipt (Class-wise)'!C1819)</f>
        <v/>
      </c>
      <c r="D1009" s="25" t="str">
        <f>'Fee Receipt (Class-wise)'!K1819</f>
        <v/>
      </c>
      <c r="E1009" s="23"/>
      <c r="F1009" s="25">
        <v>35</v>
      </c>
      <c r="G1009" s="26" t="str">
        <f>IF('Fee Receipt (Class-wise)'!C1849="", "", 'Fee Receipt (Class-wise)'!C1849)</f>
        <v/>
      </c>
      <c r="H1009" s="25" t="str">
        <f>'Fee Receipt (Class-wise)'!K1849</f>
        <v/>
      </c>
      <c r="I1009" s="23"/>
    </row>
    <row r="1010" spans="1:9" ht="14.45" customHeight="1">
      <c r="A1010" s="35"/>
      <c r="B1010" s="25">
        <v>6</v>
      </c>
      <c r="C1010" s="26" t="str">
        <f>IF('Fee Receipt (Class-wise)'!C1820="", "", 'Fee Receipt (Class-wise)'!C1820)</f>
        <v/>
      </c>
      <c r="D1010" s="25" t="str">
        <f>'Fee Receipt (Class-wise)'!K1820</f>
        <v/>
      </c>
      <c r="E1010" s="23"/>
      <c r="F1010" s="25">
        <v>36</v>
      </c>
      <c r="G1010" s="26" t="str">
        <f>IF('Fee Receipt (Class-wise)'!C1850="", "", 'Fee Receipt (Class-wise)'!C1850)</f>
        <v/>
      </c>
      <c r="H1010" s="25" t="str">
        <f>'Fee Receipt (Class-wise)'!K1850</f>
        <v/>
      </c>
      <c r="I1010" s="23"/>
    </row>
    <row r="1011" spans="1:9" ht="14.45" customHeight="1">
      <c r="A1011" s="35"/>
      <c r="B1011" s="25">
        <v>7</v>
      </c>
      <c r="C1011" s="26" t="str">
        <f>IF('Fee Receipt (Class-wise)'!C1821="", "", 'Fee Receipt (Class-wise)'!C1821)</f>
        <v/>
      </c>
      <c r="D1011" s="25" t="str">
        <f>'Fee Receipt (Class-wise)'!K1821</f>
        <v/>
      </c>
      <c r="E1011" s="23"/>
      <c r="F1011" s="25">
        <v>37</v>
      </c>
      <c r="G1011" s="26" t="str">
        <f>IF('Fee Receipt (Class-wise)'!C1851="", "", 'Fee Receipt (Class-wise)'!C1851)</f>
        <v/>
      </c>
      <c r="H1011" s="25" t="str">
        <f>'Fee Receipt (Class-wise)'!K1851</f>
        <v/>
      </c>
      <c r="I1011" s="23"/>
    </row>
    <row r="1012" spans="1:9" ht="14.45" customHeight="1">
      <c r="A1012" s="35"/>
      <c r="B1012" s="25">
        <v>8</v>
      </c>
      <c r="C1012" s="26" t="str">
        <f>IF('Fee Receipt (Class-wise)'!C1822="", "", 'Fee Receipt (Class-wise)'!C1822)</f>
        <v/>
      </c>
      <c r="D1012" s="25" t="str">
        <f>'Fee Receipt (Class-wise)'!K1822</f>
        <v/>
      </c>
      <c r="E1012" s="23"/>
      <c r="F1012" s="25">
        <v>38</v>
      </c>
      <c r="G1012" s="26" t="str">
        <f>IF('Fee Receipt (Class-wise)'!C1852="", "", 'Fee Receipt (Class-wise)'!C1852)</f>
        <v/>
      </c>
      <c r="H1012" s="25" t="str">
        <f>'Fee Receipt (Class-wise)'!K1852</f>
        <v/>
      </c>
      <c r="I1012" s="23"/>
    </row>
    <row r="1013" spans="1:9" ht="14.45" customHeight="1">
      <c r="A1013" s="35"/>
      <c r="B1013" s="25">
        <v>9</v>
      </c>
      <c r="C1013" s="26" t="str">
        <f>IF('Fee Receipt (Class-wise)'!C1823="", "", 'Fee Receipt (Class-wise)'!C1823)</f>
        <v/>
      </c>
      <c r="D1013" s="25" t="str">
        <f>'Fee Receipt (Class-wise)'!K1823</f>
        <v/>
      </c>
      <c r="E1013" s="23"/>
      <c r="F1013" s="25">
        <v>39</v>
      </c>
      <c r="G1013" s="26" t="str">
        <f>IF('Fee Receipt (Class-wise)'!C1853="", "", 'Fee Receipt (Class-wise)'!C1853)</f>
        <v/>
      </c>
      <c r="H1013" s="25" t="str">
        <f>'Fee Receipt (Class-wise)'!K1853</f>
        <v/>
      </c>
      <c r="I1013" s="23"/>
    </row>
    <row r="1014" spans="1:9" ht="14.45" customHeight="1">
      <c r="A1014" s="35"/>
      <c r="B1014" s="25">
        <v>10</v>
      </c>
      <c r="C1014" s="26" t="str">
        <f>IF('Fee Receipt (Class-wise)'!C1824="", "", 'Fee Receipt (Class-wise)'!C1824)</f>
        <v/>
      </c>
      <c r="D1014" s="25" t="str">
        <f>'Fee Receipt (Class-wise)'!K1824</f>
        <v/>
      </c>
      <c r="E1014" s="23"/>
      <c r="F1014" s="25">
        <v>40</v>
      </c>
      <c r="G1014" s="26" t="str">
        <f>IF('Fee Receipt (Class-wise)'!C1854="", "", 'Fee Receipt (Class-wise)'!C1854)</f>
        <v/>
      </c>
      <c r="H1014" s="25" t="str">
        <f>'Fee Receipt (Class-wise)'!K1854</f>
        <v/>
      </c>
      <c r="I1014" s="23"/>
    </row>
    <row r="1015" spans="1:9" ht="14.45" customHeight="1">
      <c r="A1015" s="35"/>
      <c r="B1015" s="25">
        <v>11</v>
      </c>
      <c r="C1015" s="26" t="str">
        <f>IF('Fee Receipt (Class-wise)'!C1825="", "", 'Fee Receipt (Class-wise)'!C1825)</f>
        <v/>
      </c>
      <c r="D1015" s="25" t="str">
        <f>'Fee Receipt (Class-wise)'!K1825</f>
        <v/>
      </c>
      <c r="E1015" s="23"/>
      <c r="F1015" s="25">
        <v>41</v>
      </c>
      <c r="G1015" s="26" t="str">
        <f>IF('Fee Receipt (Class-wise)'!C1855="", "", 'Fee Receipt (Class-wise)'!C1855)</f>
        <v/>
      </c>
      <c r="H1015" s="25" t="str">
        <f>'Fee Receipt (Class-wise)'!K1855</f>
        <v/>
      </c>
      <c r="I1015" s="23"/>
    </row>
    <row r="1016" spans="1:9" ht="14.45" customHeight="1">
      <c r="A1016" s="35"/>
      <c r="B1016" s="25">
        <v>12</v>
      </c>
      <c r="C1016" s="26" t="str">
        <f>IF('Fee Receipt (Class-wise)'!C1826="", "", 'Fee Receipt (Class-wise)'!C1826)</f>
        <v/>
      </c>
      <c r="D1016" s="25" t="str">
        <f>'Fee Receipt (Class-wise)'!K1826</f>
        <v/>
      </c>
      <c r="E1016" s="23"/>
      <c r="F1016" s="25">
        <v>42</v>
      </c>
      <c r="G1016" s="26" t="str">
        <f>IF('Fee Receipt (Class-wise)'!C1856="", "", 'Fee Receipt (Class-wise)'!C1856)</f>
        <v/>
      </c>
      <c r="H1016" s="25" t="str">
        <f>'Fee Receipt (Class-wise)'!K1856</f>
        <v/>
      </c>
      <c r="I1016" s="23"/>
    </row>
    <row r="1017" spans="1:9" ht="14.45" customHeight="1">
      <c r="A1017" s="35"/>
      <c r="B1017" s="25">
        <v>13</v>
      </c>
      <c r="C1017" s="26" t="str">
        <f>IF('Fee Receipt (Class-wise)'!C1827="", "", 'Fee Receipt (Class-wise)'!C1827)</f>
        <v/>
      </c>
      <c r="D1017" s="25" t="str">
        <f>'Fee Receipt (Class-wise)'!K1827</f>
        <v/>
      </c>
      <c r="E1017" s="23"/>
      <c r="F1017" s="25">
        <v>43</v>
      </c>
      <c r="G1017" s="26" t="str">
        <f>IF('Fee Receipt (Class-wise)'!C1857="", "", 'Fee Receipt (Class-wise)'!C1857)</f>
        <v/>
      </c>
      <c r="H1017" s="25" t="str">
        <f>'Fee Receipt (Class-wise)'!K1857</f>
        <v/>
      </c>
      <c r="I1017" s="23"/>
    </row>
    <row r="1018" spans="1:9" ht="14.45" customHeight="1">
      <c r="A1018" s="35"/>
      <c r="B1018" s="25">
        <v>14</v>
      </c>
      <c r="C1018" s="26" t="str">
        <f>IF('Fee Receipt (Class-wise)'!C1828="", "", 'Fee Receipt (Class-wise)'!C1828)</f>
        <v/>
      </c>
      <c r="D1018" s="25" t="str">
        <f>'Fee Receipt (Class-wise)'!K1828</f>
        <v/>
      </c>
      <c r="E1018" s="23"/>
      <c r="F1018" s="25">
        <v>44</v>
      </c>
      <c r="G1018" s="26" t="str">
        <f>IF('Fee Receipt (Class-wise)'!C1858="", "", 'Fee Receipt (Class-wise)'!C1858)</f>
        <v/>
      </c>
      <c r="H1018" s="25" t="str">
        <f>'Fee Receipt (Class-wise)'!K1858</f>
        <v/>
      </c>
      <c r="I1018" s="23"/>
    </row>
    <row r="1019" spans="1:9" ht="14.45" customHeight="1">
      <c r="A1019" s="35"/>
      <c r="B1019" s="25">
        <v>15</v>
      </c>
      <c r="C1019" s="26" t="str">
        <f>IF('Fee Receipt (Class-wise)'!C1829="", "", 'Fee Receipt (Class-wise)'!C1829)</f>
        <v/>
      </c>
      <c r="D1019" s="25" t="str">
        <f>'Fee Receipt (Class-wise)'!K1829</f>
        <v/>
      </c>
      <c r="E1019" s="23"/>
      <c r="F1019" s="25">
        <v>45</v>
      </c>
      <c r="G1019" s="26" t="str">
        <f>IF('Fee Receipt (Class-wise)'!C1859="", "", 'Fee Receipt (Class-wise)'!C1859)</f>
        <v/>
      </c>
      <c r="H1019" s="25" t="str">
        <f>'Fee Receipt (Class-wise)'!K1859</f>
        <v/>
      </c>
      <c r="I1019" s="23"/>
    </row>
    <row r="1020" spans="1:9" ht="14.45" customHeight="1">
      <c r="A1020" s="35"/>
      <c r="B1020" s="25">
        <v>16</v>
      </c>
      <c r="C1020" s="26" t="str">
        <f>IF('Fee Receipt (Class-wise)'!C1830="", "", 'Fee Receipt (Class-wise)'!C1830)</f>
        <v/>
      </c>
      <c r="D1020" s="25" t="str">
        <f>'Fee Receipt (Class-wise)'!K1830</f>
        <v/>
      </c>
      <c r="E1020" s="23"/>
      <c r="F1020" s="25">
        <v>46</v>
      </c>
      <c r="G1020" s="26" t="str">
        <f>IF('Fee Receipt (Class-wise)'!C1860="", "", 'Fee Receipt (Class-wise)'!C1860)</f>
        <v/>
      </c>
      <c r="H1020" s="25" t="str">
        <f>'Fee Receipt (Class-wise)'!K1860</f>
        <v/>
      </c>
      <c r="I1020" s="23"/>
    </row>
    <row r="1021" spans="1:9" ht="14.45" customHeight="1">
      <c r="A1021" s="35"/>
      <c r="B1021" s="25">
        <v>17</v>
      </c>
      <c r="C1021" s="26" t="str">
        <f>IF('Fee Receipt (Class-wise)'!C1831="", "", 'Fee Receipt (Class-wise)'!C1831)</f>
        <v/>
      </c>
      <c r="D1021" s="25" t="str">
        <f>'Fee Receipt (Class-wise)'!K1831</f>
        <v/>
      </c>
      <c r="E1021" s="23"/>
      <c r="F1021" s="25">
        <v>47</v>
      </c>
      <c r="G1021" s="26" t="str">
        <f>IF('Fee Receipt (Class-wise)'!C1861="", "", 'Fee Receipt (Class-wise)'!C1861)</f>
        <v/>
      </c>
      <c r="H1021" s="25" t="str">
        <f>'Fee Receipt (Class-wise)'!K1861</f>
        <v/>
      </c>
      <c r="I1021" s="23"/>
    </row>
    <row r="1022" spans="1:9" ht="14.45" customHeight="1">
      <c r="A1022" s="35"/>
      <c r="B1022" s="25">
        <v>18</v>
      </c>
      <c r="C1022" s="26" t="str">
        <f>IF('Fee Receipt (Class-wise)'!C1832="", "", 'Fee Receipt (Class-wise)'!C1832)</f>
        <v/>
      </c>
      <c r="D1022" s="25" t="str">
        <f>'Fee Receipt (Class-wise)'!K1832</f>
        <v/>
      </c>
      <c r="E1022" s="23"/>
      <c r="F1022" s="25">
        <v>48</v>
      </c>
      <c r="G1022" s="26" t="str">
        <f>IF('Fee Receipt (Class-wise)'!C1862="", "", 'Fee Receipt (Class-wise)'!C1862)</f>
        <v/>
      </c>
      <c r="H1022" s="25" t="str">
        <f>'Fee Receipt (Class-wise)'!K1862</f>
        <v/>
      </c>
      <c r="I1022" s="23"/>
    </row>
    <row r="1023" spans="1:9" ht="14.45" customHeight="1">
      <c r="A1023" s="35"/>
      <c r="B1023" s="25">
        <v>19</v>
      </c>
      <c r="C1023" s="26" t="str">
        <f>IF('Fee Receipt (Class-wise)'!C1833="", "", 'Fee Receipt (Class-wise)'!C1833)</f>
        <v/>
      </c>
      <c r="D1023" s="25" t="str">
        <f>'Fee Receipt (Class-wise)'!K1833</f>
        <v/>
      </c>
      <c r="E1023" s="23"/>
      <c r="F1023" s="25">
        <v>49</v>
      </c>
      <c r="G1023" s="26" t="str">
        <f>IF('Fee Receipt (Class-wise)'!C1863="", "", 'Fee Receipt (Class-wise)'!C1863)</f>
        <v/>
      </c>
      <c r="H1023" s="25" t="str">
        <f>'Fee Receipt (Class-wise)'!K1863</f>
        <v/>
      </c>
      <c r="I1023" s="23"/>
    </row>
    <row r="1024" spans="1:9" ht="14.45" customHeight="1">
      <c r="A1024" s="35"/>
      <c r="B1024" s="25">
        <v>20</v>
      </c>
      <c r="C1024" s="26" t="str">
        <f>IF('Fee Receipt (Class-wise)'!C1834="", "", 'Fee Receipt (Class-wise)'!C1834)</f>
        <v/>
      </c>
      <c r="D1024" s="25" t="str">
        <f>'Fee Receipt (Class-wise)'!K1834</f>
        <v/>
      </c>
      <c r="E1024" s="23"/>
      <c r="F1024" s="25">
        <v>50</v>
      </c>
      <c r="G1024" s="26" t="str">
        <f>IF('Fee Receipt (Class-wise)'!C1864="", "", 'Fee Receipt (Class-wise)'!C1864)</f>
        <v/>
      </c>
      <c r="H1024" s="25" t="str">
        <f>'Fee Receipt (Class-wise)'!K1864</f>
        <v/>
      </c>
      <c r="I1024" s="23"/>
    </row>
    <row r="1025" spans="1:9" ht="14.45" customHeight="1">
      <c r="A1025" s="35"/>
      <c r="B1025" s="25">
        <v>21</v>
      </c>
      <c r="C1025" s="26" t="str">
        <f>IF('Fee Receipt (Class-wise)'!C1835="", "", 'Fee Receipt (Class-wise)'!C1835)</f>
        <v/>
      </c>
      <c r="D1025" s="25" t="str">
        <f>'Fee Receipt (Class-wise)'!K1835</f>
        <v/>
      </c>
      <c r="E1025" s="23"/>
      <c r="F1025" s="25">
        <v>51</v>
      </c>
      <c r="G1025" s="26" t="str">
        <f>IF('Fee Receipt (Class-wise)'!C1865="", "", 'Fee Receipt (Class-wise)'!C1865)</f>
        <v/>
      </c>
      <c r="H1025" s="25" t="str">
        <f>'Fee Receipt (Class-wise)'!K1865</f>
        <v/>
      </c>
      <c r="I1025" s="23"/>
    </row>
    <row r="1026" spans="1:9" ht="14.45" customHeight="1">
      <c r="A1026" s="35"/>
      <c r="B1026" s="25">
        <v>22</v>
      </c>
      <c r="C1026" s="26" t="str">
        <f>IF('Fee Receipt (Class-wise)'!C1836="", "", 'Fee Receipt (Class-wise)'!C1836)</f>
        <v/>
      </c>
      <c r="D1026" s="25" t="str">
        <f>'Fee Receipt (Class-wise)'!K1836</f>
        <v/>
      </c>
      <c r="E1026" s="23"/>
      <c r="F1026" s="25">
        <v>52</v>
      </c>
      <c r="G1026" s="26" t="str">
        <f>IF('Fee Receipt (Class-wise)'!C1866="", "", 'Fee Receipt (Class-wise)'!C1866)</f>
        <v/>
      </c>
      <c r="H1026" s="25" t="str">
        <f>'Fee Receipt (Class-wise)'!K1866</f>
        <v/>
      </c>
      <c r="I1026" s="23"/>
    </row>
    <row r="1027" spans="1:9" ht="14.45" customHeight="1">
      <c r="A1027" s="35"/>
      <c r="B1027" s="25">
        <v>23</v>
      </c>
      <c r="C1027" s="26" t="str">
        <f>IF('Fee Receipt (Class-wise)'!C1837="", "", 'Fee Receipt (Class-wise)'!C1837)</f>
        <v/>
      </c>
      <c r="D1027" s="25" t="str">
        <f>'Fee Receipt (Class-wise)'!K1837</f>
        <v/>
      </c>
      <c r="E1027" s="23"/>
      <c r="F1027" s="25">
        <v>53</v>
      </c>
      <c r="G1027" s="26" t="str">
        <f>IF('Fee Receipt (Class-wise)'!C1867="", "", 'Fee Receipt (Class-wise)'!C1867)</f>
        <v/>
      </c>
      <c r="H1027" s="25" t="str">
        <f>'Fee Receipt (Class-wise)'!K1867</f>
        <v/>
      </c>
      <c r="I1027" s="23"/>
    </row>
    <row r="1028" spans="1:9" ht="14.45" customHeight="1">
      <c r="A1028" s="35"/>
      <c r="B1028" s="25">
        <v>24</v>
      </c>
      <c r="C1028" s="26" t="str">
        <f>IF('Fee Receipt (Class-wise)'!C1838="", "", 'Fee Receipt (Class-wise)'!C1838)</f>
        <v/>
      </c>
      <c r="D1028" s="25" t="str">
        <f>'Fee Receipt (Class-wise)'!K1838</f>
        <v/>
      </c>
      <c r="E1028" s="23"/>
      <c r="F1028" s="25">
        <v>54</v>
      </c>
      <c r="G1028" s="26" t="str">
        <f>IF('Fee Receipt (Class-wise)'!C1868="", "", 'Fee Receipt (Class-wise)'!C1868)</f>
        <v/>
      </c>
      <c r="H1028" s="25" t="str">
        <f>'Fee Receipt (Class-wise)'!K1868</f>
        <v/>
      </c>
      <c r="I1028" s="23"/>
    </row>
    <row r="1029" spans="1:9" ht="14.45" customHeight="1">
      <c r="A1029" s="35"/>
      <c r="B1029" s="25">
        <v>25</v>
      </c>
      <c r="C1029" s="26" t="str">
        <f>IF('Fee Receipt (Class-wise)'!C1839="", "", 'Fee Receipt (Class-wise)'!C1839)</f>
        <v/>
      </c>
      <c r="D1029" s="25" t="str">
        <f>'Fee Receipt (Class-wise)'!K1839</f>
        <v/>
      </c>
      <c r="E1029" s="23"/>
      <c r="F1029" s="25">
        <v>55</v>
      </c>
      <c r="G1029" s="26" t="str">
        <f>IF('Fee Receipt (Class-wise)'!C1869="", "", 'Fee Receipt (Class-wise)'!C1869)</f>
        <v/>
      </c>
      <c r="H1029" s="25" t="str">
        <f>'Fee Receipt (Class-wise)'!K1869</f>
        <v/>
      </c>
      <c r="I1029" s="23"/>
    </row>
    <row r="1030" spans="1:9" ht="14.45" customHeight="1">
      <c r="A1030" s="35"/>
      <c r="B1030" s="25">
        <v>26</v>
      </c>
      <c r="C1030" s="26" t="str">
        <f>IF('Fee Receipt (Class-wise)'!C1840="", "", 'Fee Receipt (Class-wise)'!C1840)</f>
        <v/>
      </c>
      <c r="D1030" s="25" t="str">
        <f>'Fee Receipt (Class-wise)'!K1840</f>
        <v/>
      </c>
      <c r="E1030" s="23"/>
      <c r="F1030" s="25">
        <v>56</v>
      </c>
      <c r="G1030" s="26" t="str">
        <f>IF('Fee Receipt (Class-wise)'!C1870="", "", 'Fee Receipt (Class-wise)'!C1870)</f>
        <v/>
      </c>
      <c r="H1030" s="25" t="str">
        <f>'Fee Receipt (Class-wise)'!K1870</f>
        <v/>
      </c>
      <c r="I1030" s="23"/>
    </row>
    <row r="1031" spans="1:9" ht="14.45" customHeight="1">
      <c r="A1031" s="35"/>
      <c r="B1031" s="25">
        <v>27</v>
      </c>
      <c r="C1031" s="26" t="str">
        <f>IF('Fee Receipt (Class-wise)'!C1841="", "", 'Fee Receipt (Class-wise)'!C1841)</f>
        <v/>
      </c>
      <c r="D1031" s="25" t="str">
        <f>'Fee Receipt (Class-wise)'!K1841</f>
        <v/>
      </c>
      <c r="E1031" s="23"/>
      <c r="F1031" s="25">
        <v>57</v>
      </c>
      <c r="G1031" s="26" t="str">
        <f>IF('Fee Receipt (Class-wise)'!C1871="", "", 'Fee Receipt (Class-wise)'!C1871)</f>
        <v/>
      </c>
      <c r="H1031" s="25" t="str">
        <f>'Fee Receipt (Class-wise)'!K1871</f>
        <v/>
      </c>
      <c r="I1031" s="23"/>
    </row>
    <row r="1032" spans="1:9" ht="14.45" customHeight="1">
      <c r="A1032" s="35"/>
      <c r="B1032" s="25">
        <v>28</v>
      </c>
      <c r="C1032" s="26" t="str">
        <f>IF('Fee Receipt (Class-wise)'!C1842="", "", 'Fee Receipt (Class-wise)'!C1842)</f>
        <v/>
      </c>
      <c r="D1032" s="25" t="str">
        <f>'Fee Receipt (Class-wise)'!K1842</f>
        <v/>
      </c>
      <c r="E1032" s="23"/>
      <c r="F1032" s="25">
        <v>58</v>
      </c>
      <c r="G1032" s="26" t="str">
        <f>IF('Fee Receipt (Class-wise)'!C1872="", "", 'Fee Receipt (Class-wise)'!C1872)</f>
        <v/>
      </c>
      <c r="H1032" s="25" t="str">
        <f>'Fee Receipt (Class-wise)'!K1872</f>
        <v/>
      </c>
      <c r="I1032" s="23"/>
    </row>
    <row r="1033" spans="1:9" ht="14.45" customHeight="1">
      <c r="A1033" s="35"/>
      <c r="B1033" s="25">
        <v>29</v>
      </c>
      <c r="C1033" s="26" t="str">
        <f>IF('Fee Receipt (Class-wise)'!C1843="", "", 'Fee Receipt (Class-wise)'!C1843)</f>
        <v/>
      </c>
      <c r="D1033" s="25" t="str">
        <f>'Fee Receipt (Class-wise)'!K1843</f>
        <v/>
      </c>
      <c r="E1033" s="23"/>
      <c r="F1033" s="25">
        <v>59</v>
      </c>
      <c r="G1033" s="26" t="str">
        <f>IF('Fee Receipt (Class-wise)'!C1873="", "", 'Fee Receipt (Class-wise)'!C1873)</f>
        <v/>
      </c>
      <c r="H1033" s="25" t="str">
        <f>'Fee Receipt (Class-wise)'!K1873</f>
        <v/>
      </c>
      <c r="I1033" s="23"/>
    </row>
    <row r="1034" spans="1:9" ht="14.45" customHeight="1">
      <c r="A1034" s="35"/>
      <c r="B1034" s="25">
        <v>30</v>
      </c>
      <c r="C1034" s="26" t="str">
        <f>IF('Fee Receipt (Class-wise)'!C1844="", "", 'Fee Receipt (Class-wise)'!C1844)</f>
        <v/>
      </c>
      <c r="D1034" s="25" t="str">
        <f>'Fee Receipt (Class-wise)'!K1844</f>
        <v/>
      </c>
      <c r="E1034" s="23"/>
      <c r="F1034" s="25">
        <v>60</v>
      </c>
      <c r="G1034" s="26" t="str">
        <f>IF('Fee Receipt (Class-wise)'!C1874="", "", 'Fee Receipt (Class-wise)'!C1874)</f>
        <v/>
      </c>
      <c r="H1034" s="25" t="str">
        <f>'Fee Receipt (Class-wise)'!K1874</f>
        <v/>
      </c>
      <c r="I1034" s="23"/>
    </row>
    <row r="1035" spans="1:9" ht="14.45" customHeight="1">
      <c r="A1035" s="35"/>
      <c r="B1035" s="25"/>
      <c r="C1035" s="23"/>
      <c r="D1035" s="23"/>
      <c r="E1035" s="23"/>
      <c r="F1035" s="33" t="s">
        <v>31</v>
      </c>
      <c r="G1035" s="33"/>
      <c r="H1035" s="24">
        <f>SUM(D1005:D1034)+SUM(H1005:H1034)</f>
        <v>0</v>
      </c>
      <c r="I1035" s="23"/>
    </row>
    <row r="1036" spans="1:9" ht="14.45" customHeight="1">
      <c r="B1036" s="23"/>
      <c r="C1036" s="23"/>
      <c r="D1036" s="23"/>
      <c r="E1036" s="23"/>
      <c r="F1036" s="23"/>
      <c r="G1036" s="23"/>
      <c r="H1036" s="23"/>
      <c r="I1036" s="23"/>
    </row>
    <row r="1037" spans="1:9" ht="14.45" customHeight="1">
      <c r="B1037" s="23"/>
      <c r="C1037" s="23"/>
      <c r="D1037" s="23"/>
      <c r="E1037" s="23"/>
      <c r="F1037" s="23"/>
      <c r="G1037" s="23"/>
      <c r="H1037" s="23"/>
      <c r="I1037" s="23"/>
    </row>
    <row r="1038" spans="1:9" ht="14.45" customHeight="1">
      <c r="A1038" s="49">
        <v>29</v>
      </c>
      <c r="B1038" s="35" t="s">
        <v>33</v>
      </c>
      <c r="C1038" s="35"/>
      <c r="D1038" s="35"/>
      <c r="E1038" s="35"/>
      <c r="F1038" s="35"/>
      <c r="G1038" s="35"/>
      <c r="H1038" s="24" t="s">
        <v>36</v>
      </c>
      <c r="I1038" s="23"/>
    </row>
    <row r="1039" spans="1:9" ht="14.45" customHeight="1">
      <c r="A1039" s="49"/>
      <c r="B1039" s="23" t="s">
        <v>35</v>
      </c>
      <c r="C1039" s="50" t="str">
        <f>IF('Fee Receipt (Class-wise)'!C1879="", "", 'Fee Receipt (Class-wise)'!C1879)</f>
        <v/>
      </c>
      <c r="D1039" s="50"/>
      <c r="E1039" s="23"/>
      <c r="F1039" s="23"/>
      <c r="G1039" s="23"/>
      <c r="H1039" s="49" t="str">
        <f>IF(C1039="", "", H1072)</f>
        <v/>
      </c>
      <c r="I1039" s="23"/>
    </row>
    <row r="1040" spans="1:9" ht="14.45" customHeight="1">
      <c r="A1040" s="49"/>
      <c r="B1040" s="23" t="s">
        <v>34</v>
      </c>
      <c r="C1040" s="50" t="str">
        <f>IF(C1039="", "", 'Fee Receipt (Class-wise)'!$H$2)</f>
        <v/>
      </c>
      <c r="D1040" s="50"/>
      <c r="E1040" s="23"/>
      <c r="F1040" s="23"/>
      <c r="G1040" s="23"/>
      <c r="H1040" s="49"/>
      <c r="I1040" s="23"/>
    </row>
    <row r="1041" spans="1:9" ht="14.45" customHeight="1">
      <c r="A1041" s="35"/>
      <c r="B1041" s="25" t="s">
        <v>1</v>
      </c>
      <c r="C1041" s="25" t="s">
        <v>2</v>
      </c>
      <c r="D1041" s="25" t="s">
        <v>9</v>
      </c>
      <c r="E1041" s="23"/>
      <c r="F1041" s="25" t="s">
        <v>1</v>
      </c>
      <c r="G1041" s="25" t="s">
        <v>2</v>
      </c>
      <c r="H1041" s="25" t="s">
        <v>9</v>
      </c>
      <c r="I1041" s="23"/>
    </row>
    <row r="1042" spans="1:9" ht="14.45" customHeight="1">
      <c r="A1042" s="35"/>
      <c r="B1042" s="25">
        <v>1</v>
      </c>
      <c r="C1042" s="26" t="str">
        <f>IF('Fee Receipt (Class-wise)'!C1882="", "", 'Fee Receipt (Class-wise)'!C1882)</f>
        <v/>
      </c>
      <c r="D1042" s="25" t="str">
        <f>'Fee Receipt (Class-wise)'!K1882</f>
        <v/>
      </c>
      <c r="E1042" s="23"/>
      <c r="F1042" s="25">
        <v>31</v>
      </c>
      <c r="G1042" s="26" t="str">
        <f>IF('Fee Receipt (Class-wise)'!C1912="", "", 'Fee Receipt (Class-wise)'!C1912)</f>
        <v/>
      </c>
      <c r="H1042" s="25" t="str">
        <f>'Fee Receipt (Class-wise)'!K1912</f>
        <v/>
      </c>
      <c r="I1042" s="23"/>
    </row>
    <row r="1043" spans="1:9" ht="14.45" customHeight="1">
      <c r="A1043" s="35"/>
      <c r="B1043" s="25">
        <v>2</v>
      </c>
      <c r="C1043" s="26" t="str">
        <f>IF('Fee Receipt (Class-wise)'!C1883="", "", 'Fee Receipt (Class-wise)'!C1883)</f>
        <v/>
      </c>
      <c r="D1043" s="25" t="str">
        <f>'Fee Receipt (Class-wise)'!K1883</f>
        <v/>
      </c>
      <c r="E1043" s="23"/>
      <c r="F1043" s="25">
        <v>32</v>
      </c>
      <c r="G1043" s="26" t="str">
        <f>IF('Fee Receipt (Class-wise)'!C1913="", "", 'Fee Receipt (Class-wise)'!C1913)</f>
        <v/>
      </c>
      <c r="H1043" s="25" t="str">
        <f>'Fee Receipt (Class-wise)'!K1913</f>
        <v/>
      </c>
      <c r="I1043" s="23"/>
    </row>
    <row r="1044" spans="1:9" ht="14.45" customHeight="1">
      <c r="A1044" s="35"/>
      <c r="B1044" s="25">
        <v>3</v>
      </c>
      <c r="C1044" s="26" t="str">
        <f>IF('Fee Receipt (Class-wise)'!C1884="", "", 'Fee Receipt (Class-wise)'!C1884)</f>
        <v/>
      </c>
      <c r="D1044" s="25" t="str">
        <f>'Fee Receipt (Class-wise)'!K1884</f>
        <v/>
      </c>
      <c r="E1044" s="23"/>
      <c r="F1044" s="25">
        <v>33</v>
      </c>
      <c r="G1044" s="26" t="str">
        <f>IF('Fee Receipt (Class-wise)'!C1914="", "", 'Fee Receipt (Class-wise)'!C1914)</f>
        <v/>
      </c>
      <c r="H1044" s="25" t="str">
        <f>'Fee Receipt (Class-wise)'!K1914</f>
        <v/>
      </c>
      <c r="I1044" s="23"/>
    </row>
    <row r="1045" spans="1:9" ht="14.45" customHeight="1">
      <c r="A1045" s="35"/>
      <c r="B1045" s="25">
        <v>4</v>
      </c>
      <c r="C1045" s="26" t="str">
        <f>IF('Fee Receipt (Class-wise)'!C1885="", "", 'Fee Receipt (Class-wise)'!C1885)</f>
        <v/>
      </c>
      <c r="D1045" s="25" t="str">
        <f>'Fee Receipt (Class-wise)'!K1885</f>
        <v/>
      </c>
      <c r="E1045" s="23"/>
      <c r="F1045" s="25">
        <v>34</v>
      </c>
      <c r="G1045" s="26" t="str">
        <f>IF('Fee Receipt (Class-wise)'!C1915="", "", 'Fee Receipt (Class-wise)'!C1915)</f>
        <v/>
      </c>
      <c r="H1045" s="25" t="str">
        <f>'Fee Receipt (Class-wise)'!K1915</f>
        <v/>
      </c>
      <c r="I1045" s="23"/>
    </row>
    <row r="1046" spans="1:9" ht="14.45" customHeight="1">
      <c r="A1046" s="35"/>
      <c r="B1046" s="25">
        <v>5</v>
      </c>
      <c r="C1046" s="26" t="str">
        <f>IF('Fee Receipt (Class-wise)'!C1886="", "", 'Fee Receipt (Class-wise)'!C1886)</f>
        <v/>
      </c>
      <c r="D1046" s="25" t="str">
        <f>'Fee Receipt (Class-wise)'!K1886</f>
        <v/>
      </c>
      <c r="E1046" s="23"/>
      <c r="F1046" s="25">
        <v>35</v>
      </c>
      <c r="G1046" s="26" t="str">
        <f>IF('Fee Receipt (Class-wise)'!C1916="", "", 'Fee Receipt (Class-wise)'!C1916)</f>
        <v/>
      </c>
      <c r="H1046" s="25" t="str">
        <f>'Fee Receipt (Class-wise)'!K1916</f>
        <v/>
      </c>
      <c r="I1046" s="23"/>
    </row>
    <row r="1047" spans="1:9" ht="14.45" customHeight="1">
      <c r="A1047" s="35"/>
      <c r="B1047" s="25">
        <v>6</v>
      </c>
      <c r="C1047" s="26" t="str">
        <f>IF('Fee Receipt (Class-wise)'!C1887="", "", 'Fee Receipt (Class-wise)'!C1887)</f>
        <v/>
      </c>
      <c r="D1047" s="25" t="str">
        <f>'Fee Receipt (Class-wise)'!K1887</f>
        <v/>
      </c>
      <c r="E1047" s="23"/>
      <c r="F1047" s="25">
        <v>36</v>
      </c>
      <c r="G1047" s="26" t="str">
        <f>IF('Fee Receipt (Class-wise)'!C1917="", "", 'Fee Receipt (Class-wise)'!C1917)</f>
        <v/>
      </c>
      <c r="H1047" s="25" t="str">
        <f>'Fee Receipt (Class-wise)'!K1917</f>
        <v/>
      </c>
      <c r="I1047" s="23"/>
    </row>
    <row r="1048" spans="1:9" ht="14.45" customHeight="1">
      <c r="A1048" s="35"/>
      <c r="B1048" s="25">
        <v>7</v>
      </c>
      <c r="C1048" s="26" t="str">
        <f>IF('Fee Receipt (Class-wise)'!C1888="", "", 'Fee Receipt (Class-wise)'!C1888)</f>
        <v/>
      </c>
      <c r="D1048" s="25" t="str">
        <f>'Fee Receipt (Class-wise)'!K1888</f>
        <v/>
      </c>
      <c r="E1048" s="23"/>
      <c r="F1048" s="25">
        <v>37</v>
      </c>
      <c r="G1048" s="26" t="str">
        <f>IF('Fee Receipt (Class-wise)'!C1918="", "", 'Fee Receipt (Class-wise)'!C1918)</f>
        <v/>
      </c>
      <c r="H1048" s="25" t="str">
        <f>'Fee Receipt (Class-wise)'!K1918</f>
        <v/>
      </c>
      <c r="I1048" s="23"/>
    </row>
    <row r="1049" spans="1:9" ht="14.45" customHeight="1">
      <c r="A1049" s="35"/>
      <c r="B1049" s="25">
        <v>8</v>
      </c>
      <c r="C1049" s="26" t="str">
        <f>IF('Fee Receipt (Class-wise)'!C1889="", "", 'Fee Receipt (Class-wise)'!C1889)</f>
        <v/>
      </c>
      <c r="D1049" s="25" t="str">
        <f>'Fee Receipt (Class-wise)'!K1889</f>
        <v/>
      </c>
      <c r="E1049" s="23"/>
      <c r="F1049" s="25">
        <v>38</v>
      </c>
      <c r="G1049" s="26" t="str">
        <f>IF('Fee Receipt (Class-wise)'!C1919="", "", 'Fee Receipt (Class-wise)'!C1919)</f>
        <v/>
      </c>
      <c r="H1049" s="25" t="str">
        <f>'Fee Receipt (Class-wise)'!K1919</f>
        <v/>
      </c>
      <c r="I1049" s="23"/>
    </row>
    <row r="1050" spans="1:9" ht="14.45" customHeight="1">
      <c r="A1050" s="35"/>
      <c r="B1050" s="25">
        <v>9</v>
      </c>
      <c r="C1050" s="26" t="str">
        <f>IF('Fee Receipt (Class-wise)'!C1890="", "", 'Fee Receipt (Class-wise)'!C1890)</f>
        <v/>
      </c>
      <c r="D1050" s="25" t="str">
        <f>'Fee Receipt (Class-wise)'!K1890</f>
        <v/>
      </c>
      <c r="E1050" s="23"/>
      <c r="F1050" s="25">
        <v>39</v>
      </c>
      <c r="G1050" s="26" t="str">
        <f>IF('Fee Receipt (Class-wise)'!C1920="", "", 'Fee Receipt (Class-wise)'!C1920)</f>
        <v/>
      </c>
      <c r="H1050" s="25" t="str">
        <f>'Fee Receipt (Class-wise)'!K1920</f>
        <v/>
      </c>
      <c r="I1050" s="23"/>
    </row>
    <row r="1051" spans="1:9" ht="14.45" customHeight="1">
      <c r="A1051" s="35"/>
      <c r="B1051" s="25">
        <v>10</v>
      </c>
      <c r="C1051" s="26" t="str">
        <f>IF('Fee Receipt (Class-wise)'!C1891="", "", 'Fee Receipt (Class-wise)'!C1891)</f>
        <v/>
      </c>
      <c r="D1051" s="25" t="str">
        <f>'Fee Receipt (Class-wise)'!K1891</f>
        <v/>
      </c>
      <c r="E1051" s="23"/>
      <c r="F1051" s="25">
        <v>40</v>
      </c>
      <c r="G1051" s="26" t="str">
        <f>IF('Fee Receipt (Class-wise)'!C1921="", "", 'Fee Receipt (Class-wise)'!C1921)</f>
        <v/>
      </c>
      <c r="H1051" s="25" t="str">
        <f>'Fee Receipt (Class-wise)'!K1921</f>
        <v/>
      </c>
      <c r="I1051" s="23"/>
    </row>
    <row r="1052" spans="1:9" ht="14.45" customHeight="1">
      <c r="A1052" s="35"/>
      <c r="B1052" s="25">
        <v>11</v>
      </c>
      <c r="C1052" s="26" t="str">
        <f>IF('Fee Receipt (Class-wise)'!C1892="", "", 'Fee Receipt (Class-wise)'!C1892)</f>
        <v/>
      </c>
      <c r="D1052" s="25" t="str">
        <f>'Fee Receipt (Class-wise)'!K1892</f>
        <v/>
      </c>
      <c r="E1052" s="23"/>
      <c r="F1052" s="25">
        <v>41</v>
      </c>
      <c r="G1052" s="26" t="str">
        <f>IF('Fee Receipt (Class-wise)'!C1922="", "", 'Fee Receipt (Class-wise)'!C1922)</f>
        <v/>
      </c>
      <c r="H1052" s="25" t="str">
        <f>'Fee Receipt (Class-wise)'!K1922</f>
        <v/>
      </c>
      <c r="I1052" s="23"/>
    </row>
    <row r="1053" spans="1:9" ht="14.45" customHeight="1">
      <c r="A1053" s="35"/>
      <c r="B1053" s="25">
        <v>12</v>
      </c>
      <c r="C1053" s="26" t="str">
        <f>IF('Fee Receipt (Class-wise)'!C1893="", "", 'Fee Receipt (Class-wise)'!C1893)</f>
        <v/>
      </c>
      <c r="D1053" s="25" t="str">
        <f>'Fee Receipt (Class-wise)'!K1893</f>
        <v/>
      </c>
      <c r="E1053" s="23"/>
      <c r="F1053" s="25">
        <v>42</v>
      </c>
      <c r="G1053" s="26" t="str">
        <f>IF('Fee Receipt (Class-wise)'!C1923="", "", 'Fee Receipt (Class-wise)'!C1923)</f>
        <v/>
      </c>
      <c r="H1053" s="25" t="str">
        <f>'Fee Receipt (Class-wise)'!K1923</f>
        <v/>
      </c>
      <c r="I1053" s="23"/>
    </row>
    <row r="1054" spans="1:9" ht="14.45" customHeight="1">
      <c r="A1054" s="35"/>
      <c r="B1054" s="25">
        <v>13</v>
      </c>
      <c r="C1054" s="26" t="str">
        <f>IF('Fee Receipt (Class-wise)'!C1894="", "", 'Fee Receipt (Class-wise)'!C1894)</f>
        <v/>
      </c>
      <c r="D1054" s="25" t="str">
        <f>'Fee Receipt (Class-wise)'!K1894</f>
        <v/>
      </c>
      <c r="E1054" s="23"/>
      <c r="F1054" s="25">
        <v>43</v>
      </c>
      <c r="G1054" s="26" t="str">
        <f>IF('Fee Receipt (Class-wise)'!C1924="", "", 'Fee Receipt (Class-wise)'!C1924)</f>
        <v/>
      </c>
      <c r="H1054" s="25" t="str">
        <f>'Fee Receipt (Class-wise)'!K1924</f>
        <v/>
      </c>
      <c r="I1054" s="23"/>
    </row>
    <row r="1055" spans="1:9" ht="14.45" customHeight="1">
      <c r="A1055" s="35"/>
      <c r="B1055" s="25">
        <v>14</v>
      </c>
      <c r="C1055" s="26" t="str">
        <f>IF('Fee Receipt (Class-wise)'!C1895="", "", 'Fee Receipt (Class-wise)'!C1895)</f>
        <v/>
      </c>
      <c r="D1055" s="25" t="str">
        <f>'Fee Receipt (Class-wise)'!K1895</f>
        <v/>
      </c>
      <c r="E1055" s="23"/>
      <c r="F1055" s="25">
        <v>44</v>
      </c>
      <c r="G1055" s="26" t="str">
        <f>IF('Fee Receipt (Class-wise)'!C1925="", "", 'Fee Receipt (Class-wise)'!C1925)</f>
        <v/>
      </c>
      <c r="H1055" s="25" t="str">
        <f>'Fee Receipt (Class-wise)'!K1925</f>
        <v/>
      </c>
      <c r="I1055" s="23"/>
    </row>
    <row r="1056" spans="1:9" ht="14.45" customHeight="1">
      <c r="A1056" s="35"/>
      <c r="B1056" s="25">
        <v>15</v>
      </c>
      <c r="C1056" s="26" t="str">
        <f>IF('Fee Receipt (Class-wise)'!C1896="", "", 'Fee Receipt (Class-wise)'!C1896)</f>
        <v/>
      </c>
      <c r="D1056" s="25" t="str">
        <f>'Fee Receipt (Class-wise)'!K1896</f>
        <v/>
      </c>
      <c r="E1056" s="23"/>
      <c r="F1056" s="25">
        <v>45</v>
      </c>
      <c r="G1056" s="26" t="str">
        <f>IF('Fee Receipt (Class-wise)'!C1926="", "", 'Fee Receipt (Class-wise)'!C1926)</f>
        <v/>
      </c>
      <c r="H1056" s="25" t="str">
        <f>'Fee Receipt (Class-wise)'!K1926</f>
        <v/>
      </c>
      <c r="I1056" s="23"/>
    </row>
    <row r="1057" spans="1:9" ht="14.45" customHeight="1">
      <c r="A1057" s="35"/>
      <c r="B1057" s="25">
        <v>16</v>
      </c>
      <c r="C1057" s="26" t="str">
        <f>IF('Fee Receipt (Class-wise)'!C1897="", "", 'Fee Receipt (Class-wise)'!C1897)</f>
        <v/>
      </c>
      <c r="D1057" s="25" t="str">
        <f>'Fee Receipt (Class-wise)'!K1897</f>
        <v/>
      </c>
      <c r="E1057" s="23"/>
      <c r="F1057" s="25">
        <v>46</v>
      </c>
      <c r="G1057" s="26" t="str">
        <f>IF('Fee Receipt (Class-wise)'!C1927="", "", 'Fee Receipt (Class-wise)'!C1927)</f>
        <v/>
      </c>
      <c r="H1057" s="25" t="str">
        <f>'Fee Receipt (Class-wise)'!K1927</f>
        <v/>
      </c>
      <c r="I1057" s="23"/>
    </row>
    <row r="1058" spans="1:9" ht="14.45" customHeight="1">
      <c r="A1058" s="35"/>
      <c r="B1058" s="25">
        <v>17</v>
      </c>
      <c r="C1058" s="26" t="str">
        <f>IF('Fee Receipt (Class-wise)'!C1898="", "", 'Fee Receipt (Class-wise)'!C1898)</f>
        <v/>
      </c>
      <c r="D1058" s="25" t="str">
        <f>'Fee Receipt (Class-wise)'!K1898</f>
        <v/>
      </c>
      <c r="E1058" s="23"/>
      <c r="F1058" s="25">
        <v>47</v>
      </c>
      <c r="G1058" s="26" t="str">
        <f>IF('Fee Receipt (Class-wise)'!C1928="", "", 'Fee Receipt (Class-wise)'!C1928)</f>
        <v/>
      </c>
      <c r="H1058" s="25" t="str">
        <f>'Fee Receipt (Class-wise)'!K1928</f>
        <v/>
      </c>
      <c r="I1058" s="23"/>
    </row>
    <row r="1059" spans="1:9" ht="14.45" customHeight="1">
      <c r="A1059" s="35"/>
      <c r="B1059" s="25">
        <v>18</v>
      </c>
      <c r="C1059" s="26" t="str">
        <f>IF('Fee Receipt (Class-wise)'!C1899="", "", 'Fee Receipt (Class-wise)'!C1899)</f>
        <v/>
      </c>
      <c r="D1059" s="25" t="str">
        <f>'Fee Receipt (Class-wise)'!K1899</f>
        <v/>
      </c>
      <c r="E1059" s="23"/>
      <c r="F1059" s="25">
        <v>48</v>
      </c>
      <c r="G1059" s="26" t="str">
        <f>IF('Fee Receipt (Class-wise)'!C1929="", "", 'Fee Receipt (Class-wise)'!C1929)</f>
        <v/>
      </c>
      <c r="H1059" s="25" t="str">
        <f>'Fee Receipt (Class-wise)'!K1929</f>
        <v/>
      </c>
      <c r="I1059" s="23"/>
    </row>
    <row r="1060" spans="1:9" ht="14.45" customHeight="1">
      <c r="A1060" s="35"/>
      <c r="B1060" s="25">
        <v>19</v>
      </c>
      <c r="C1060" s="26" t="str">
        <f>IF('Fee Receipt (Class-wise)'!C1900="", "", 'Fee Receipt (Class-wise)'!C1900)</f>
        <v/>
      </c>
      <c r="D1060" s="25" t="str">
        <f>'Fee Receipt (Class-wise)'!K1900</f>
        <v/>
      </c>
      <c r="E1060" s="23"/>
      <c r="F1060" s="25">
        <v>49</v>
      </c>
      <c r="G1060" s="26" t="str">
        <f>IF('Fee Receipt (Class-wise)'!C1930="", "", 'Fee Receipt (Class-wise)'!C1930)</f>
        <v/>
      </c>
      <c r="H1060" s="25" t="str">
        <f>'Fee Receipt (Class-wise)'!K1930</f>
        <v/>
      </c>
      <c r="I1060" s="23"/>
    </row>
    <row r="1061" spans="1:9" ht="14.45" customHeight="1">
      <c r="A1061" s="35"/>
      <c r="B1061" s="25">
        <v>20</v>
      </c>
      <c r="C1061" s="26" t="str">
        <f>IF('Fee Receipt (Class-wise)'!C1901="", "", 'Fee Receipt (Class-wise)'!C1901)</f>
        <v/>
      </c>
      <c r="D1061" s="25" t="str">
        <f>'Fee Receipt (Class-wise)'!K1901</f>
        <v/>
      </c>
      <c r="E1061" s="23"/>
      <c r="F1061" s="25">
        <v>50</v>
      </c>
      <c r="G1061" s="26" t="str">
        <f>IF('Fee Receipt (Class-wise)'!C1931="", "", 'Fee Receipt (Class-wise)'!C1931)</f>
        <v/>
      </c>
      <c r="H1061" s="25" t="str">
        <f>'Fee Receipt (Class-wise)'!K1931</f>
        <v/>
      </c>
      <c r="I1061" s="23"/>
    </row>
    <row r="1062" spans="1:9" ht="14.45" customHeight="1">
      <c r="A1062" s="35"/>
      <c r="B1062" s="25">
        <v>21</v>
      </c>
      <c r="C1062" s="26" t="str">
        <f>IF('Fee Receipt (Class-wise)'!C1902="", "", 'Fee Receipt (Class-wise)'!C1902)</f>
        <v/>
      </c>
      <c r="D1062" s="25" t="str">
        <f>'Fee Receipt (Class-wise)'!K1902</f>
        <v/>
      </c>
      <c r="E1062" s="23"/>
      <c r="F1062" s="25">
        <v>51</v>
      </c>
      <c r="G1062" s="26" t="str">
        <f>IF('Fee Receipt (Class-wise)'!C1932="", "", 'Fee Receipt (Class-wise)'!C1932)</f>
        <v/>
      </c>
      <c r="H1062" s="25" t="str">
        <f>'Fee Receipt (Class-wise)'!K1932</f>
        <v/>
      </c>
      <c r="I1062" s="23"/>
    </row>
    <row r="1063" spans="1:9" ht="14.45" customHeight="1">
      <c r="A1063" s="35"/>
      <c r="B1063" s="25">
        <v>22</v>
      </c>
      <c r="C1063" s="26" t="str">
        <f>IF('Fee Receipt (Class-wise)'!C1903="", "", 'Fee Receipt (Class-wise)'!C1903)</f>
        <v/>
      </c>
      <c r="D1063" s="25" t="str">
        <f>'Fee Receipt (Class-wise)'!K1903</f>
        <v/>
      </c>
      <c r="E1063" s="23"/>
      <c r="F1063" s="25">
        <v>52</v>
      </c>
      <c r="G1063" s="26" t="str">
        <f>IF('Fee Receipt (Class-wise)'!C1933="", "", 'Fee Receipt (Class-wise)'!C1933)</f>
        <v/>
      </c>
      <c r="H1063" s="25" t="str">
        <f>'Fee Receipt (Class-wise)'!K1933</f>
        <v/>
      </c>
      <c r="I1063" s="23"/>
    </row>
    <row r="1064" spans="1:9" ht="14.45" customHeight="1">
      <c r="A1064" s="35"/>
      <c r="B1064" s="25">
        <v>23</v>
      </c>
      <c r="C1064" s="26" t="str">
        <f>IF('Fee Receipt (Class-wise)'!C1904="", "", 'Fee Receipt (Class-wise)'!C1904)</f>
        <v/>
      </c>
      <c r="D1064" s="25" t="str">
        <f>'Fee Receipt (Class-wise)'!K1904</f>
        <v/>
      </c>
      <c r="E1064" s="23"/>
      <c r="F1064" s="25">
        <v>53</v>
      </c>
      <c r="G1064" s="26" t="str">
        <f>IF('Fee Receipt (Class-wise)'!C1934="", "", 'Fee Receipt (Class-wise)'!C1934)</f>
        <v/>
      </c>
      <c r="H1064" s="25" t="str">
        <f>'Fee Receipt (Class-wise)'!K1934</f>
        <v/>
      </c>
      <c r="I1064" s="23"/>
    </row>
    <row r="1065" spans="1:9" ht="14.45" customHeight="1">
      <c r="A1065" s="35"/>
      <c r="B1065" s="25">
        <v>24</v>
      </c>
      <c r="C1065" s="26" t="str">
        <f>IF('Fee Receipt (Class-wise)'!C1905="", "", 'Fee Receipt (Class-wise)'!C1905)</f>
        <v/>
      </c>
      <c r="D1065" s="25" t="str">
        <f>'Fee Receipt (Class-wise)'!K1905</f>
        <v/>
      </c>
      <c r="E1065" s="23"/>
      <c r="F1065" s="25">
        <v>54</v>
      </c>
      <c r="G1065" s="26" t="str">
        <f>IF('Fee Receipt (Class-wise)'!C1935="", "", 'Fee Receipt (Class-wise)'!C1935)</f>
        <v/>
      </c>
      <c r="H1065" s="25" t="str">
        <f>'Fee Receipt (Class-wise)'!K1935</f>
        <v/>
      </c>
      <c r="I1065" s="23"/>
    </row>
    <row r="1066" spans="1:9" ht="14.45" customHeight="1">
      <c r="A1066" s="35"/>
      <c r="B1066" s="25">
        <v>25</v>
      </c>
      <c r="C1066" s="26" t="str">
        <f>IF('Fee Receipt (Class-wise)'!C1906="", "", 'Fee Receipt (Class-wise)'!C1906)</f>
        <v/>
      </c>
      <c r="D1066" s="25" t="str">
        <f>'Fee Receipt (Class-wise)'!K1906</f>
        <v/>
      </c>
      <c r="E1066" s="23"/>
      <c r="F1066" s="25">
        <v>55</v>
      </c>
      <c r="G1066" s="26" t="str">
        <f>IF('Fee Receipt (Class-wise)'!C1936="", "", 'Fee Receipt (Class-wise)'!C1936)</f>
        <v/>
      </c>
      <c r="H1066" s="25" t="str">
        <f>'Fee Receipt (Class-wise)'!K1936</f>
        <v/>
      </c>
      <c r="I1066" s="23"/>
    </row>
    <row r="1067" spans="1:9" ht="14.45" customHeight="1">
      <c r="A1067" s="35"/>
      <c r="B1067" s="25">
        <v>26</v>
      </c>
      <c r="C1067" s="26" t="str">
        <f>IF('Fee Receipt (Class-wise)'!C1907="", "", 'Fee Receipt (Class-wise)'!C1907)</f>
        <v/>
      </c>
      <c r="D1067" s="25" t="str">
        <f>'Fee Receipt (Class-wise)'!K1907</f>
        <v/>
      </c>
      <c r="E1067" s="23"/>
      <c r="F1067" s="25">
        <v>56</v>
      </c>
      <c r="G1067" s="26" t="str">
        <f>IF('Fee Receipt (Class-wise)'!C1937="", "", 'Fee Receipt (Class-wise)'!C1937)</f>
        <v/>
      </c>
      <c r="H1067" s="25" t="str">
        <f>'Fee Receipt (Class-wise)'!K1937</f>
        <v/>
      </c>
      <c r="I1067" s="23"/>
    </row>
    <row r="1068" spans="1:9" ht="14.45" customHeight="1">
      <c r="A1068" s="35"/>
      <c r="B1068" s="25">
        <v>27</v>
      </c>
      <c r="C1068" s="26" t="str">
        <f>IF('Fee Receipt (Class-wise)'!C1908="", "", 'Fee Receipt (Class-wise)'!C1908)</f>
        <v/>
      </c>
      <c r="D1068" s="25" t="str">
        <f>'Fee Receipt (Class-wise)'!K1908</f>
        <v/>
      </c>
      <c r="E1068" s="23"/>
      <c r="F1068" s="25">
        <v>57</v>
      </c>
      <c r="G1068" s="26" t="str">
        <f>IF('Fee Receipt (Class-wise)'!C1938="", "", 'Fee Receipt (Class-wise)'!C1938)</f>
        <v/>
      </c>
      <c r="H1068" s="25" t="str">
        <f>'Fee Receipt (Class-wise)'!K1938</f>
        <v/>
      </c>
      <c r="I1068" s="23"/>
    </row>
    <row r="1069" spans="1:9" ht="14.45" customHeight="1">
      <c r="A1069" s="35"/>
      <c r="B1069" s="25">
        <v>28</v>
      </c>
      <c r="C1069" s="26" t="str">
        <f>IF('Fee Receipt (Class-wise)'!C1909="", "", 'Fee Receipt (Class-wise)'!C1909)</f>
        <v/>
      </c>
      <c r="D1069" s="25" t="str">
        <f>'Fee Receipt (Class-wise)'!K1909</f>
        <v/>
      </c>
      <c r="E1069" s="23"/>
      <c r="F1069" s="25">
        <v>58</v>
      </c>
      <c r="G1069" s="26" t="str">
        <f>IF('Fee Receipt (Class-wise)'!C1939="", "", 'Fee Receipt (Class-wise)'!C1939)</f>
        <v/>
      </c>
      <c r="H1069" s="25" t="str">
        <f>'Fee Receipt (Class-wise)'!K1939</f>
        <v/>
      </c>
      <c r="I1069" s="23"/>
    </row>
    <row r="1070" spans="1:9" ht="14.45" customHeight="1">
      <c r="A1070" s="35"/>
      <c r="B1070" s="25">
        <v>29</v>
      </c>
      <c r="C1070" s="26" t="str">
        <f>IF('Fee Receipt (Class-wise)'!C1910="", "", 'Fee Receipt (Class-wise)'!C1910)</f>
        <v/>
      </c>
      <c r="D1070" s="25" t="str">
        <f>'Fee Receipt (Class-wise)'!K1910</f>
        <v/>
      </c>
      <c r="E1070" s="23"/>
      <c r="F1070" s="25">
        <v>59</v>
      </c>
      <c r="G1070" s="26" t="str">
        <f>IF('Fee Receipt (Class-wise)'!C1940="", "", 'Fee Receipt (Class-wise)'!C1940)</f>
        <v/>
      </c>
      <c r="H1070" s="25" t="str">
        <f>'Fee Receipt (Class-wise)'!K1940</f>
        <v/>
      </c>
      <c r="I1070" s="23"/>
    </row>
    <row r="1071" spans="1:9" ht="14.45" customHeight="1">
      <c r="A1071" s="35"/>
      <c r="B1071" s="25">
        <v>30</v>
      </c>
      <c r="C1071" s="26" t="str">
        <f>IF('Fee Receipt (Class-wise)'!C1911="", "", 'Fee Receipt (Class-wise)'!C1911)</f>
        <v/>
      </c>
      <c r="D1071" s="25" t="str">
        <f>'Fee Receipt (Class-wise)'!K1911</f>
        <v/>
      </c>
      <c r="E1071" s="23"/>
      <c r="F1071" s="25">
        <v>60</v>
      </c>
      <c r="G1071" s="26" t="str">
        <f>IF('Fee Receipt (Class-wise)'!C1941="", "", 'Fee Receipt (Class-wise)'!C1941)</f>
        <v/>
      </c>
      <c r="H1071" s="25" t="str">
        <f>'Fee Receipt (Class-wise)'!K1941</f>
        <v/>
      </c>
      <c r="I1071" s="23"/>
    </row>
    <row r="1072" spans="1:9" ht="14.45" customHeight="1">
      <c r="A1072" s="35"/>
      <c r="B1072" s="25"/>
      <c r="C1072" s="23"/>
      <c r="D1072" s="23"/>
      <c r="E1072" s="23"/>
      <c r="F1072" s="33" t="s">
        <v>31</v>
      </c>
      <c r="G1072" s="33"/>
      <c r="H1072" s="24">
        <f>SUM(D1042:D1071)+SUM(H1042:H1071)</f>
        <v>0</v>
      </c>
      <c r="I1072" s="23"/>
    </row>
    <row r="1073" spans="1:9" ht="14.45" customHeight="1">
      <c r="B1073" s="23"/>
      <c r="C1073" s="23"/>
      <c r="D1073" s="23"/>
      <c r="E1073" s="23"/>
      <c r="F1073" s="23"/>
      <c r="G1073" s="23"/>
      <c r="H1073" s="23"/>
      <c r="I1073" s="23"/>
    </row>
    <row r="1074" spans="1:9" ht="14.45" customHeight="1">
      <c r="B1074" s="23"/>
      <c r="C1074" s="23"/>
      <c r="D1074" s="23"/>
      <c r="E1074" s="23"/>
      <c r="F1074" s="23"/>
      <c r="G1074" s="23"/>
      <c r="H1074" s="23"/>
      <c r="I1074" s="23"/>
    </row>
    <row r="1075" spans="1:9" ht="14.45" customHeight="1">
      <c r="A1075" s="49">
        <v>30</v>
      </c>
      <c r="B1075" s="35" t="s">
        <v>33</v>
      </c>
      <c r="C1075" s="35"/>
      <c r="D1075" s="35"/>
      <c r="E1075" s="35"/>
      <c r="F1075" s="35"/>
      <c r="G1075" s="35"/>
      <c r="H1075" s="24" t="s">
        <v>36</v>
      </c>
      <c r="I1075" s="23"/>
    </row>
    <row r="1076" spans="1:9" ht="14.45" customHeight="1">
      <c r="A1076" s="49"/>
      <c r="B1076" s="23" t="s">
        <v>35</v>
      </c>
      <c r="C1076" s="50" t="str">
        <f>IF('Fee Receipt (Class-wise)'!C1946="", "", 'Fee Receipt (Class-wise)'!C1946)</f>
        <v/>
      </c>
      <c r="D1076" s="50"/>
      <c r="E1076" s="23"/>
      <c r="F1076" s="23"/>
      <c r="G1076" s="23"/>
      <c r="H1076" s="49" t="str">
        <f>IF(C1076="", "", H1109)</f>
        <v/>
      </c>
      <c r="I1076" s="23"/>
    </row>
    <row r="1077" spans="1:9" ht="14.45" customHeight="1">
      <c r="A1077" s="49"/>
      <c r="B1077" s="23" t="s">
        <v>34</v>
      </c>
      <c r="C1077" s="50" t="str">
        <f>IF(C1076="", "", 'Fee Receipt (Class-wise)'!$H$2)</f>
        <v/>
      </c>
      <c r="D1077" s="50"/>
      <c r="E1077" s="23"/>
      <c r="F1077" s="23"/>
      <c r="G1077" s="23"/>
      <c r="H1077" s="49"/>
      <c r="I1077" s="23"/>
    </row>
    <row r="1078" spans="1:9" ht="14.45" customHeight="1">
      <c r="A1078" s="35"/>
      <c r="B1078" s="25" t="s">
        <v>1</v>
      </c>
      <c r="C1078" s="25" t="s">
        <v>2</v>
      </c>
      <c r="D1078" s="25" t="s">
        <v>9</v>
      </c>
      <c r="E1078" s="23"/>
      <c r="F1078" s="25" t="s">
        <v>1</v>
      </c>
      <c r="G1078" s="25" t="s">
        <v>2</v>
      </c>
      <c r="H1078" s="25" t="s">
        <v>9</v>
      </c>
      <c r="I1078" s="23"/>
    </row>
    <row r="1079" spans="1:9" ht="14.45" customHeight="1">
      <c r="A1079" s="35"/>
      <c r="B1079" s="25">
        <v>1</v>
      </c>
      <c r="C1079" s="26" t="str">
        <f>IF('Fee Receipt (Class-wise)'!C1949="", "", 'Fee Receipt (Class-wise)'!C1949)</f>
        <v/>
      </c>
      <c r="D1079" s="25" t="str">
        <f>'Fee Receipt (Class-wise)'!K1949</f>
        <v/>
      </c>
      <c r="E1079" s="23"/>
      <c r="F1079" s="25">
        <v>31</v>
      </c>
      <c r="G1079" s="26" t="str">
        <f>IF('Fee Receipt (Class-wise)'!C1979="", "", 'Fee Receipt (Class-wise)'!C1979)</f>
        <v/>
      </c>
      <c r="H1079" s="25" t="str">
        <f>'Fee Receipt (Class-wise)'!K1979</f>
        <v/>
      </c>
      <c r="I1079" s="23"/>
    </row>
    <row r="1080" spans="1:9" ht="14.45" customHeight="1">
      <c r="A1080" s="35"/>
      <c r="B1080" s="25">
        <v>2</v>
      </c>
      <c r="C1080" s="26" t="str">
        <f>IF('Fee Receipt (Class-wise)'!C1950="", "", 'Fee Receipt (Class-wise)'!C1950)</f>
        <v/>
      </c>
      <c r="D1080" s="25" t="str">
        <f>'Fee Receipt (Class-wise)'!K1950</f>
        <v/>
      </c>
      <c r="E1080" s="23"/>
      <c r="F1080" s="25">
        <v>32</v>
      </c>
      <c r="G1080" s="26" t="str">
        <f>IF('Fee Receipt (Class-wise)'!C1980="", "", 'Fee Receipt (Class-wise)'!C1980)</f>
        <v/>
      </c>
      <c r="H1080" s="25" t="str">
        <f>'Fee Receipt (Class-wise)'!K1980</f>
        <v/>
      </c>
      <c r="I1080" s="23"/>
    </row>
    <row r="1081" spans="1:9" ht="14.45" customHeight="1">
      <c r="A1081" s="35"/>
      <c r="B1081" s="25">
        <v>3</v>
      </c>
      <c r="C1081" s="26" t="str">
        <f>IF('Fee Receipt (Class-wise)'!C1951="", "", 'Fee Receipt (Class-wise)'!C1951)</f>
        <v/>
      </c>
      <c r="D1081" s="25" t="str">
        <f>'Fee Receipt (Class-wise)'!K1951</f>
        <v/>
      </c>
      <c r="E1081" s="23"/>
      <c r="F1081" s="25">
        <v>33</v>
      </c>
      <c r="G1081" s="26" t="str">
        <f>IF('Fee Receipt (Class-wise)'!C1981="", "", 'Fee Receipt (Class-wise)'!C1981)</f>
        <v/>
      </c>
      <c r="H1081" s="25" t="str">
        <f>'Fee Receipt (Class-wise)'!K1981</f>
        <v/>
      </c>
      <c r="I1081" s="23"/>
    </row>
    <row r="1082" spans="1:9" ht="14.45" customHeight="1">
      <c r="A1082" s="35"/>
      <c r="B1082" s="25">
        <v>4</v>
      </c>
      <c r="C1082" s="26" t="str">
        <f>IF('Fee Receipt (Class-wise)'!C1952="", "", 'Fee Receipt (Class-wise)'!C1952)</f>
        <v/>
      </c>
      <c r="D1082" s="25" t="str">
        <f>'Fee Receipt (Class-wise)'!K1952</f>
        <v/>
      </c>
      <c r="E1082" s="23"/>
      <c r="F1082" s="25">
        <v>34</v>
      </c>
      <c r="G1082" s="26" t="str">
        <f>IF('Fee Receipt (Class-wise)'!C1982="", "", 'Fee Receipt (Class-wise)'!C1982)</f>
        <v/>
      </c>
      <c r="H1082" s="25" t="str">
        <f>'Fee Receipt (Class-wise)'!K1982</f>
        <v/>
      </c>
      <c r="I1082" s="23"/>
    </row>
    <row r="1083" spans="1:9" ht="14.45" customHeight="1">
      <c r="A1083" s="35"/>
      <c r="B1083" s="25">
        <v>5</v>
      </c>
      <c r="C1083" s="26" t="str">
        <f>IF('Fee Receipt (Class-wise)'!C1953="", "", 'Fee Receipt (Class-wise)'!C1953)</f>
        <v/>
      </c>
      <c r="D1083" s="25" t="str">
        <f>'Fee Receipt (Class-wise)'!K1953</f>
        <v/>
      </c>
      <c r="E1083" s="23"/>
      <c r="F1083" s="25">
        <v>35</v>
      </c>
      <c r="G1083" s="26" t="str">
        <f>IF('Fee Receipt (Class-wise)'!C1983="", "", 'Fee Receipt (Class-wise)'!C1983)</f>
        <v/>
      </c>
      <c r="H1083" s="25" t="str">
        <f>'Fee Receipt (Class-wise)'!K1983</f>
        <v/>
      </c>
      <c r="I1083" s="23"/>
    </row>
    <row r="1084" spans="1:9" ht="14.45" customHeight="1">
      <c r="A1084" s="35"/>
      <c r="B1084" s="25">
        <v>6</v>
      </c>
      <c r="C1084" s="26" t="str">
        <f>IF('Fee Receipt (Class-wise)'!C1954="", "", 'Fee Receipt (Class-wise)'!C1954)</f>
        <v/>
      </c>
      <c r="D1084" s="25" t="str">
        <f>'Fee Receipt (Class-wise)'!K1954</f>
        <v/>
      </c>
      <c r="E1084" s="23"/>
      <c r="F1084" s="25">
        <v>36</v>
      </c>
      <c r="G1084" s="26" t="str">
        <f>IF('Fee Receipt (Class-wise)'!C1984="", "", 'Fee Receipt (Class-wise)'!C1984)</f>
        <v/>
      </c>
      <c r="H1084" s="25" t="str">
        <f>'Fee Receipt (Class-wise)'!K1984</f>
        <v/>
      </c>
      <c r="I1084" s="23"/>
    </row>
    <row r="1085" spans="1:9" ht="14.45" customHeight="1">
      <c r="A1085" s="35"/>
      <c r="B1085" s="25">
        <v>7</v>
      </c>
      <c r="C1085" s="26" t="str">
        <f>IF('Fee Receipt (Class-wise)'!C1955="", "", 'Fee Receipt (Class-wise)'!C1955)</f>
        <v/>
      </c>
      <c r="D1085" s="25" t="str">
        <f>'Fee Receipt (Class-wise)'!K1955</f>
        <v/>
      </c>
      <c r="E1085" s="23"/>
      <c r="F1085" s="25">
        <v>37</v>
      </c>
      <c r="G1085" s="26" t="str">
        <f>IF('Fee Receipt (Class-wise)'!C1985="", "", 'Fee Receipt (Class-wise)'!C1985)</f>
        <v/>
      </c>
      <c r="H1085" s="25" t="str">
        <f>'Fee Receipt (Class-wise)'!K1985</f>
        <v/>
      </c>
      <c r="I1085" s="23"/>
    </row>
    <row r="1086" spans="1:9" ht="14.45" customHeight="1">
      <c r="A1086" s="35"/>
      <c r="B1086" s="25">
        <v>8</v>
      </c>
      <c r="C1086" s="26" t="str">
        <f>IF('Fee Receipt (Class-wise)'!C1956="", "", 'Fee Receipt (Class-wise)'!C1956)</f>
        <v/>
      </c>
      <c r="D1086" s="25" t="str">
        <f>'Fee Receipt (Class-wise)'!K1956</f>
        <v/>
      </c>
      <c r="E1086" s="23"/>
      <c r="F1086" s="25">
        <v>38</v>
      </c>
      <c r="G1086" s="26" t="str">
        <f>IF('Fee Receipt (Class-wise)'!C1986="", "", 'Fee Receipt (Class-wise)'!C1986)</f>
        <v/>
      </c>
      <c r="H1086" s="25" t="str">
        <f>'Fee Receipt (Class-wise)'!K1986</f>
        <v/>
      </c>
      <c r="I1086" s="23"/>
    </row>
    <row r="1087" spans="1:9" ht="14.45" customHeight="1">
      <c r="A1087" s="35"/>
      <c r="B1087" s="25">
        <v>9</v>
      </c>
      <c r="C1087" s="26" t="str">
        <f>IF('Fee Receipt (Class-wise)'!C1957="", "", 'Fee Receipt (Class-wise)'!C1957)</f>
        <v/>
      </c>
      <c r="D1087" s="25" t="str">
        <f>'Fee Receipt (Class-wise)'!K1957</f>
        <v/>
      </c>
      <c r="E1087" s="23"/>
      <c r="F1087" s="25">
        <v>39</v>
      </c>
      <c r="G1087" s="26" t="str">
        <f>IF('Fee Receipt (Class-wise)'!C1987="", "", 'Fee Receipt (Class-wise)'!C1987)</f>
        <v/>
      </c>
      <c r="H1087" s="25" t="str">
        <f>'Fee Receipt (Class-wise)'!K1987</f>
        <v/>
      </c>
      <c r="I1087" s="23"/>
    </row>
    <row r="1088" spans="1:9" ht="14.45" customHeight="1">
      <c r="A1088" s="35"/>
      <c r="B1088" s="25">
        <v>10</v>
      </c>
      <c r="C1088" s="26" t="str">
        <f>IF('Fee Receipt (Class-wise)'!C1958="", "", 'Fee Receipt (Class-wise)'!C1958)</f>
        <v/>
      </c>
      <c r="D1088" s="25" t="str">
        <f>'Fee Receipt (Class-wise)'!K1958</f>
        <v/>
      </c>
      <c r="E1088" s="23"/>
      <c r="F1088" s="25">
        <v>40</v>
      </c>
      <c r="G1088" s="26" t="str">
        <f>IF('Fee Receipt (Class-wise)'!C1988="", "", 'Fee Receipt (Class-wise)'!C1988)</f>
        <v/>
      </c>
      <c r="H1088" s="25" t="str">
        <f>'Fee Receipt (Class-wise)'!K1988</f>
        <v/>
      </c>
      <c r="I1088" s="23"/>
    </row>
    <row r="1089" spans="1:9" ht="14.45" customHeight="1">
      <c r="A1089" s="35"/>
      <c r="B1089" s="25">
        <v>11</v>
      </c>
      <c r="C1089" s="26" t="str">
        <f>IF('Fee Receipt (Class-wise)'!C1959="", "", 'Fee Receipt (Class-wise)'!C1959)</f>
        <v/>
      </c>
      <c r="D1089" s="25" t="str">
        <f>'Fee Receipt (Class-wise)'!K1959</f>
        <v/>
      </c>
      <c r="E1089" s="23"/>
      <c r="F1089" s="25">
        <v>41</v>
      </c>
      <c r="G1089" s="26" t="str">
        <f>IF('Fee Receipt (Class-wise)'!C1989="", "", 'Fee Receipt (Class-wise)'!C1989)</f>
        <v/>
      </c>
      <c r="H1089" s="25" t="str">
        <f>'Fee Receipt (Class-wise)'!K1989</f>
        <v/>
      </c>
      <c r="I1089" s="23"/>
    </row>
    <row r="1090" spans="1:9" ht="14.45" customHeight="1">
      <c r="A1090" s="35"/>
      <c r="B1090" s="25">
        <v>12</v>
      </c>
      <c r="C1090" s="26" t="str">
        <f>IF('Fee Receipt (Class-wise)'!C1960="", "", 'Fee Receipt (Class-wise)'!C1960)</f>
        <v/>
      </c>
      <c r="D1090" s="25" t="str">
        <f>'Fee Receipt (Class-wise)'!K1960</f>
        <v/>
      </c>
      <c r="E1090" s="23"/>
      <c r="F1090" s="25">
        <v>42</v>
      </c>
      <c r="G1090" s="26" t="str">
        <f>IF('Fee Receipt (Class-wise)'!C1990="", "", 'Fee Receipt (Class-wise)'!C1990)</f>
        <v/>
      </c>
      <c r="H1090" s="25" t="str">
        <f>'Fee Receipt (Class-wise)'!K1990</f>
        <v/>
      </c>
      <c r="I1090" s="23"/>
    </row>
    <row r="1091" spans="1:9" ht="14.45" customHeight="1">
      <c r="A1091" s="35"/>
      <c r="B1091" s="25">
        <v>13</v>
      </c>
      <c r="C1091" s="26" t="str">
        <f>IF('Fee Receipt (Class-wise)'!C1961="", "", 'Fee Receipt (Class-wise)'!C1961)</f>
        <v/>
      </c>
      <c r="D1091" s="25" t="str">
        <f>'Fee Receipt (Class-wise)'!K1961</f>
        <v/>
      </c>
      <c r="E1091" s="23"/>
      <c r="F1091" s="25">
        <v>43</v>
      </c>
      <c r="G1091" s="26" t="str">
        <f>IF('Fee Receipt (Class-wise)'!C1991="", "", 'Fee Receipt (Class-wise)'!C1991)</f>
        <v/>
      </c>
      <c r="H1091" s="25" t="str">
        <f>'Fee Receipt (Class-wise)'!K1991</f>
        <v/>
      </c>
      <c r="I1091" s="23"/>
    </row>
    <row r="1092" spans="1:9" ht="14.45" customHeight="1">
      <c r="A1092" s="35"/>
      <c r="B1092" s="25">
        <v>14</v>
      </c>
      <c r="C1092" s="26" t="str">
        <f>IF('Fee Receipt (Class-wise)'!C1962="", "", 'Fee Receipt (Class-wise)'!C1962)</f>
        <v/>
      </c>
      <c r="D1092" s="25" t="str">
        <f>'Fee Receipt (Class-wise)'!K1962</f>
        <v/>
      </c>
      <c r="E1092" s="23"/>
      <c r="F1092" s="25">
        <v>44</v>
      </c>
      <c r="G1092" s="26" t="str">
        <f>IF('Fee Receipt (Class-wise)'!C1992="", "", 'Fee Receipt (Class-wise)'!C1992)</f>
        <v/>
      </c>
      <c r="H1092" s="25" t="str">
        <f>'Fee Receipt (Class-wise)'!K1992</f>
        <v/>
      </c>
      <c r="I1092" s="23"/>
    </row>
    <row r="1093" spans="1:9" ht="14.45" customHeight="1">
      <c r="A1093" s="35"/>
      <c r="B1093" s="25">
        <v>15</v>
      </c>
      <c r="C1093" s="26" t="str">
        <f>IF('Fee Receipt (Class-wise)'!C1963="", "", 'Fee Receipt (Class-wise)'!C1963)</f>
        <v/>
      </c>
      <c r="D1093" s="25" t="str">
        <f>'Fee Receipt (Class-wise)'!K1963</f>
        <v/>
      </c>
      <c r="E1093" s="23"/>
      <c r="F1093" s="25">
        <v>45</v>
      </c>
      <c r="G1093" s="26" t="str">
        <f>IF('Fee Receipt (Class-wise)'!C1993="", "", 'Fee Receipt (Class-wise)'!C1993)</f>
        <v/>
      </c>
      <c r="H1093" s="25" t="str">
        <f>'Fee Receipt (Class-wise)'!K1993</f>
        <v/>
      </c>
      <c r="I1093" s="23"/>
    </row>
    <row r="1094" spans="1:9" ht="14.45" customHeight="1">
      <c r="A1094" s="35"/>
      <c r="B1094" s="25">
        <v>16</v>
      </c>
      <c r="C1094" s="26" t="str">
        <f>IF('Fee Receipt (Class-wise)'!C1964="", "", 'Fee Receipt (Class-wise)'!C1964)</f>
        <v/>
      </c>
      <c r="D1094" s="25" t="str">
        <f>'Fee Receipt (Class-wise)'!K1964</f>
        <v/>
      </c>
      <c r="E1094" s="23"/>
      <c r="F1094" s="25">
        <v>46</v>
      </c>
      <c r="G1094" s="26" t="str">
        <f>IF('Fee Receipt (Class-wise)'!C1994="", "", 'Fee Receipt (Class-wise)'!C1994)</f>
        <v/>
      </c>
      <c r="H1094" s="25" t="str">
        <f>'Fee Receipt (Class-wise)'!K1994</f>
        <v/>
      </c>
      <c r="I1094" s="23"/>
    </row>
    <row r="1095" spans="1:9" ht="14.45" customHeight="1">
      <c r="A1095" s="35"/>
      <c r="B1095" s="25">
        <v>17</v>
      </c>
      <c r="C1095" s="26" t="str">
        <f>IF('Fee Receipt (Class-wise)'!C1965="", "", 'Fee Receipt (Class-wise)'!C1965)</f>
        <v/>
      </c>
      <c r="D1095" s="25" t="str">
        <f>'Fee Receipt (Class-wise)'!K1965</f>
        <v/>
      </c>
      <c r="E1095" s="23"/>
      <c r="F1095" s="25">
        <v>47</v>
      </c>
      <c r="G1095" s="26" t="str">
        <f>IF('Fee Receipt (Class-wise)'!C1995="", "", 'Fee Receipt (Class-wise)'!C1995)</f>
        <v/>
      </c>
      <c r="H1095" s="25" t="str">
        <f>'Fee Receipt (Class-wise)'!K1995</f>
        <v/>
      </c>
      <c r="I1095" s="23"/>
    </row>
    <row r="1096" spans="1:9" ht="14.45" customHeight="1">
      <c r="A1096" s="35"/>
      <c r="B1096" s="25">
        <v>18</v>
      </c>
      <c r="C1096" s="26" t="str">
        <f>IF('Fee Receipt (Class-wise)'!C1966="", "", 'Fee Receipt (Class-wise)'!C1966)</f>
        <v/>
      </c>
      <c r="D1096" s="25" t="str">
        <f>'Fee Receipt (Class-wise)'!K1966</f>
        <v/>
      </c>
      <c r="E1096" s="23"/>
      <c r="F1096" s="25">
        <v>48</v>
      </c>
      <c r="G1096" s="26" t="str">
        <f>IF('Fee Receipt (Class-wise)'!C1996="", "", 'Fee Receipt (Class-wise)'!C1996)</f>
        <v/>
      </c>
      <c r="H1096" s="25" t="str">
        <f>'Fee Receipt (Class-wise)'!K1996</f>
        <v/>
      </c>
      <c r="I1096" s="23"/>
    </row>
    <row r="1097" spans="1:9" ht="14.45" customHeight="1">
      <c r="A1097" s="35"/>
      <c r="B1097" s="25">
        <v>19</v>
      </c>
      <c r="C1097" s="26" t="str">
        <f>IF('Fee Receipt (Class-wise)'!C1967="", "", 'Fee Receipt (Class-wise)'!C1967)</f>
        <v/>
      </c>
      <c r="D1097" s="25" t="str">
        <f>'Fee Receipt (Class-wise)'!K1967</f>
        <v/>
      </c>
      <c r="E1097" s="23"/>
      <c r="F1097" s="25">
        <v>49</v>
      </c>
      <c r="G1097" s="26" t="str">
        <f>IF('Fee Receipt (Class-wise)'!C1997="", "", 'Fee Receipt (Class-wise)'!C1997)</f>
        <v/>
      </c>
      <c r="H1097" s="25" t="str">
        <f>'Fee Receipt (Class-wise)'!K1997</f>
        <v/>
      </c>
      <c r="I1097" s="23"/>
    </row>
    <row r="1098" spans="1:9" ht="14.45" customHeight="1">
      <c r="A1098" s="35"/>
      <c r="B1098" s="25">
        <v>20</v>
      </c>
      <c r="C1098" s="26" t="str">
        <f>IF('Fee Receipt (Class-wise)'!C1968="", "", 'Fee Receipt (Class-wise)'!C1968)</f>
        <v/>
      </c>
      <c r="D1098" s="25" t="str">
        <f>'Fee Receipt (Class-wise)'!K1968</f>
        <v/>
      </c>
      <c r="E1098" s="23"/>
      <c r="F1098" s="25">
        <v>50</v>
      </c>
      <c r="G1098" s="26" t="str">
        <f>IF('Fee Receipt (Class-wise)'!C1998="", "", 'Fee Receipt (Class-wise)'!C1998)</f>
        <v/>
      </c>
      <c r="H1098" s="25" t="str">
        <f>'Fee Receipt (Class-wise)'!K1998</f>
        <v/>
      </c>
      <c r="I1098" s="23"/>
    </row>
    <row r="1099" spans="1:9" ht="14.45" customHeight="1">
      <c r="A1099" s="35"/>
      <c r="B1099" s="25">
        <v>21</v>
      </c>
      <c r="C1099" s="26" t="str">
        <f>IF('Fee Receipt (Class-wise)'!C1969="", "", 'Fee Receipt (Class-wise)'!C1969)</f>
        <v/>
      </c>
      <c r="D1099" s="25" t="str">
        <f>'Fee Receipt (Class-wise)'!K1969</f>
        <v/>
      </c>
      <c r="E1099" s="23"/>
      <c r="F1099" s="25">
        <v>51</v>
      </c>
      <c r="G1099" s="26" t="str">
        <f>IF('Fee Receipt (Class-wise)'!C1999="", "", 'Fee Receipt (Class-wise)'!C1999)</f>
        <v/>
      </c>
      <c r="H1099" s="25" t="str">
        <f>'Fee Receipt (Class-wise)'!K1999</f>
        <v/>
      </c>
      <c r="I1099" s="23"/>
    </row>
    <row r="1100" spans="1:9" ht="14.45" customHeight="1">
      <c r="A1100" s="35"/>
      <c r="B1100" s="25">
        <v>22</v>
      </c>
      <c r="C1100" s="26" t="str">
        <f>IF('Fee Receipt (Class-wise)'!C1970="", "", 'Fee Receipt (Class-wise)'!C1970)</f>
        <v/>
      </c>
      <c r="D1100" s="25" t="str">
        <f>'Fee Receipt (Class-wise)'!K1970</f>
        <v/>
      </c>
      <c r="E1100" s="23"/>
      <c r="F1100" s="25">
        <v>52</v>
      </c>
      <c r="G1100" s="26" t="str">
        <f>IF('Fee Receipt (Class-wise)'!C2000="", "", 'Fee Receipt (Class-wise)'!C2000)</f>
        <v/>
      </c>
      <c r="H1100" s="25" t="str">
        <f>'Fee Receipt (Class-wise)'!K2000</f>
        <v/>
      </c>
      <c r="I1100" s="23"/>
    </row>
    <row r="1101" spans="1:9" ht="14.45" customHeight="1">
      <c r="A1101" s="35"/>
      <c r="B1101" s="25">
        <v>23</v>
      </c>
      <c r="C1101" s="26" t="str">
        <f>IF('Fee Receipt (Class-wise)'!C1971="", "", 'Fee Receipt (Class-wise)'!C1971)</f>
        <v/>
      </c>
      <c r="D1101" s="25" t="str">
        <f>'Fee Receipt (Class-wise)'!K1971</f>
        <v/>
      </c>
      <c r="E1101" s="23"/>
      <c r="F1101" s="25">
        <v>53</v>
      </c>
      <c r="G1101" s="26" t="str">
        <f>IF('Fee Receipt (Class-wise)'!C2001="", "", 'Fee Receipt (Class-wise)'!C2001)</f>
        <v/>
      </c>
      <c r="H1101" s="25" t="str">
        <f>'Fee Receipt (Class-wise)'!K2001</f>
        <v/>
      </c>
      <c r="I1101" s="23"/>
    </row>
    <row r="1102" spans="1:9" ht="14.45" customHeight="1">
      <c r="A1102" s="35"/>
      <c r="B1102" s="25">
        <v>24</v>
      </c>
      <c r="C1102" s="26" t="str">
        <f>IF('Fee Receipt (Class-wise)'!C1972="", "", 'Fee Receipt (Class-wise)'!C1972)</f>
        <v/>
      </c>
      <c r="D1102" s="25" t="str">
        <f>'Fee Receipt (Class-wise)'!K1972</f>
        <v/>
      </c>
      <c r="E1102" s="23"/>
      <c r="F1102" s="25">
        <v>54</v>
      </c>
      <c r="G1102" s="26" t="str">
        <f>IF('Fee Receipt (Class-wise)'!C2002="", "", 'Fee Receipt (Class-wise)'!C2002)</f>
        <v/>
      </c>
      <c r="H1102" s="25" t="str">
        <f>'Fee Receipt (Class-wise)'!K2002</f>
        <v/>
      </c>
      <c r="I1102" s="23"/>
    </row>
    <row r="1103" spans="1:9" ht="14.45" customHeight="1">
      <c r="A1103" s="35"/>
      <c r="B1103" s="25">
        <v>25</v>
      </c>
      <c r="C1103" s="26" t="str">
        <f>IF('Fee Receipt (Class-wise)'!C1973="", "", 'Fee Receipt (Class-wise)'!C1973)</f>
        <v/>
      </c>
      <c r="D1103" s="25" t="str">
        <f>'Fee Receipt (Class-wise)'!K1973</f>
        <v/>
      </c>
      <c r="E1103" s="23"/>
      <c r="F1103" s="25">
        <v>55</v>
      </c>
      <c r="G1103" s="26" t="str">
        <f>IF('Fee Receipt (Class-wise)'!C2003="", "", 'Fee Receipt (Class-wise)'!C2003)</f>
        <v/>
      </c>
      <c r="H1103" s="25" t="str">
        <f>'Fee Receipt (Class-wise)'!K2003</f>
        <v/>
      </c>
      <c r="I1103" s="23"/>
    </row>
    <row r="1104" spans="1:9" ht="14.45" customHeight="1">
      <c r="A1104" s="35"/>
      <c r="B1104" s="25">
        <v>26</v>
      </c>
      <c r="C1104" s="26" t="str">
        <f>IF('Fee Receipt (Class-wise)'!C1974="", "", 'Fee Receipt (Class-wise)'!C1974)</f>
        <v/>
      </c>
      <c r="D1104" s="25" t="str">
        <f>'Fee Receipt (Class-wise)'!K1974</f>
        <v/>
      </c>
      <c r="E1104" s="23"/>
      <c r="F1104" s="25">
        <v>56</v>
      </c>
      <c r="G1104" s="26" t="str">
        <f>IF('Fee Receipt (Class-wise)'!C2004="", "", 'Fee Receipt (Class-wise)'!C2004)</f>
        <v/>
      </c>
      <c r="H1104" s="25" t="str">
        <f>'Fee Receipt (Class-wise)'!K2004</f>
        <v/>
      </c>
      <c r="I1104" s="23"/>
    </row>
    <row r="1105" spans="1:9" ht="14.45" customHeight="1">
      <c r="A1105" s="35"/>
      <c r="B1105" s="25">
        <v>27</v>
      </c>
      <c r="C1105" s="26" t="str">
        <f>IF('Fee Receipt (Class-wise)'!C1975="", "", 'Fee Receipt (Class-wise)'!C1975)</f>
        <v/>
      </c>
      <c r="D1105" s="25" t="str">
        <f>'Fee Receipt (Class-wise)'!K1975</f>
        <v/>
      </c>
      <c r="E1105" s="23"/>
      <c r="F1105" s="25">
        <v>57</v>
      </c>
      <c r="G1105" s="26" t="str">
        <f>IF('Fee Receipt (Class-wise)'!C2005="", "", 'Fee Receipt (Class-wise)'!C2005)</f>
        <v/>
      </c>
      <c r="H1105" s="25" t="str">
        <f>'Fee Receipt (Class-wise)'!K2005</f>
        <v/>
      </c>
      <c r="I1105" s="23"/>
    </row>
    <row r="1106" spans="1:9" ht="14.45" customHeight="1">
      <c r="A1106" s="35"/>
      <c r="B1106" s="25">
        <v>28</v>
      </c>
      <c r="C1106" s="26" t="str">
        <f>IF('Fee Receipt (Class-wise)'!C1976="", "", 'Fee Receipt (Class-wise)'!C1976)</f>
        <v/>
      </c>
      <c r="D1106" s="25" t="str">
        <f>'Fee Receipt (Class-wise)'!K1976</f>
        <v/>
      </c>
      <c r="E1106" s="23"/>
      <c r="F1106" s="25">
        <v>58</v>
      </c>
      <c r="G1106" s="26" t="str">
        <f>IF('Fee Receipt (Class-wise)'!C2006="", "", 'Fee Receipt (Class-wise)'!C2006)</f>
        <v/>
      </c>
      <c r="H1106" s="25" t="str">
        <f>'Fee Receipt (Class-wise)'!K2006</f>
        <v/>
      </c>
      <c r="I1106" s="23"/>
    </row>
    <row r="1107" spans="1:9" ht="14.45" customHeight="1">
      <c r="A1107" s="35"/>
      <c r="B1107" s="25">
        <v>29</v>
      </c>
      <c r="C1107" s="26" t="str">
        <f>IF('Fee Receipt (Class-wise)'!C1977="", "", 'Fee Receipt (Class-wise)'!C1977)</f>
        <v/>
      </c>
      <c r="D1107" s="25" t="str">
        <f>'Fee Receipt (Class-wise)'!K1977</f>
        <v/>
      </c>
      <c r="E1107" s="23"/>
      <c r="F1107" s="25">
        <v>59</v>
      </c>
      <c r="G1107" s="26" t="str">
        <f>IF('Fee Receipt (Class-wise)'!C2007="", "", 'Fee Receipt (Class-wise)'!C2007)</f>
        <v/>
      </c>
      <c r="H1107" s="25" t="str">
        <f>'Fee Receipt (Class-wise)'!K2007</f>
        <v/>
      </c>
      <c r="I1107" s="23"/>
    </row>
    <row r="1108" spans="1:9" ht="14.45" customHeight="1">
      <c r="A1108" s="35"/>
      <c r="B1108" s="25">
        <v>30</v>
      </c>
      <c r="C1108" s="26" t="str">
        <f>IF('Fee Receipt (Class-wise)'!C1978="", "", 'Fee Receipt (Class-wise)'!C1978)</f>
        <v/>
      </c>
      <c r="D1108" s="25" t="str">
        <f>'Fee Receipt (Class-wise)'!K1978</f>
        <v/>
      </c>
      <c r="E1108" s="23"/>
      <c r="F1108" s="25">
        <v>60</v>
      </c>
      <c r="G1108" s="26" t="str">
        <f>IF('Fee Receipt (Class-wise)'!C2008="", "", 'Fee Receipt (Class-wise)'!C2008)</f>
        <v/>
      </c>
      <c r="H1108" s="25" t="str">
        <f>'Fee Receipt (Class-wise)'!K2008</f>
        <v/>
      </c>
      <c r="I1108" s="23"/>
    </row>
    <row r="1109" spans="1:9" ht="14.45" customHeight="1">
      <c r="A1109" s="35"/>
      <c r="B1109" s="25"/>
      <c r="C1109" s="23"/>
      <c r="D1109" s="23"/>
      <c r="E1109" s="23"/>
      <c r="F1109" s="33" t="s">
        <v>31</v>
      </c>
      <c r="G1109" s="33"/>
      <c r="H1109" s="24">
        <f>SUM(D1079:D1108)+SUM(H1079:H1108)</f>
        <v>0</v>
      </c>
      <c r="I1109" s="23"/>
    </row>
    <row r="1110" spans="1:9" ht="14.45" customHeight="1">
      <c r="B1110" s="23"/>
      <c r="C1110" s="23"/>
      <c r="D1110" s="23"/>
      <c r="E1110" s="23"/>
      <c r="F1110" s="23"/>
      <c r="G1110" s="23"/>
      <c r="H1110" s="23"/>
      <c r="I1110" s="23"/>
    </row>
  </sheetData>
  <mergeCells count="239">
    <mergeCell ref="F1072:G1072"/>
    <mergeCell ref="E668:G668"/>
    <mergeCell ref="F702:G702"/>
    <mergeCell ref="A1:I1"/>
    <mergeCell ref="E594:G594"/>
    <mergeCell ref="F850:G850"/>
    <mergeCell ref="F887:G887"/>
    <mergeCell ref="E631:G631"/>
    <mergeCell ref="B668:D668"/>
    <mergeCell ref="C670:D670"/>
    <mergeCell ref="B520:D520"/>
    <mergeCell ref="E409:G409"/>
    <mergeCell ref="E705:G705"/>
    <mergeCell ref="F110:G110"/>
    <mergeCell ref="F147:G147"/>
    <mergeCell ref="F184:G184"/>
    <mergeCell ref="F665:G665"/>
    <mergeCell ref="F258:G258"/>
    <mergeCell ref="F295:G295"/>
    <mergeCell ref="F221:G221"/>
    <mergeCell ref="E113:G113"/>
    <mergeCell ref="E224:G224"/>
    <mergeCell ref="E150:G150"/>
    <mergeCell ref="E520:G520"/>
    <mergeCell ref="E261:G261"/>
    <mergeCell ref="E187:G187"/>
    <mergeCell ref="F1109:G1109"/>
    <mergeCell ref="B1038:D1038"/>
    <mergeCell ref="E1038:G1038"/>
    <mergeCell ref="B1075:D1075"/>
    <mergeCell ref="E1075:G1075"/>
    <mergeCell ref="C966:D966"/>
    <mergeCell ref="C1002:D1002"/>
    <mergeCell ref="C1003:D1003"/>
    <mergeCell ref="C1039:D1039"/>
    <mergeCell ref="C1040:D1040"/>
    <mergeCell ref="C1076:D1076"/>
    <mergeCell ref="C1077:D1077"/>
    <mergeCell ref="F517:G517"/>
    <mergeCell ref="F554:G554"/>
    <mergeCell ref="F591:G591"/>
    <mergeCell ref="F628:G628"/>
    <mergeCell ref="F1035:G1035"/>
    <mergeCell ref="E557:G557"/>
    <mergeCell ref="E446:G446"/>
    <mergeCell ref="B483:D483"/>
    <mergeCell ref="E483:G483"/>
    <mergeCell ref="C448:D448"/>
    <mergeCell ref="E298:G298"/>
    <mergeCell ref="B335:D335"/>
    <mergeCell ref="B372:D372"/>
    <mergeCell ref="E372:G372"/>
    <mergeCell ref="C337:D337"/>
    <mergeCell ref="F480:G480"/>
    <mergeCell ref="C300:D300"/>
    <mergeCell ref="C336:D336"/>
    <mergeCell ref="C411:D411"/>
    <mergeCell ref="F332:G332"/>
    <mergeCell ref="F369:G369"/>
    <mergeCell ref="F406:G406"/>
    <mergeCell ref="F443:G443"/>
    <mergeCell ref="B779:D779"/>
    <mergeCell ref="E779:G779"/>
    <mergeCell ref="B816:D816"/>
    <mergeCell ref="E816:G816"/>
    <mergeCell ref="C706:D706"/>
    <mergeCell ref="C707:D707"/>
    <mergeCell ref="C743:D743"/>
    <mergeCell ref="C744:D744"/>
    <mergeCell ref="C780:D780"/>
    <mergeCell ref="F739:G739"/>
    <mergeCell ref="F776:G776"/>
    <mergeCell ref="F813:G813"/>
    <mergeCell ref="B742:D742"/>
    <mergeCell ref="E742:G742"/>
    <mergeCell ref="B853:D853"/>
    <mergeCell ref="E853:G853"/>
    <mergeCell ref="B890:D890"/>
    <mergeCell ref="E890:G890"/>
    <mergeCell ref="B927:D927"/>
    <mergeCell ref="E927:G927"/>
    <mergeCell ref="B964:D964"/>
    <mergeCell ref="E964:G964"/>
    <mergeCell ref="B1001:D1001"/>
    <mergeCell ref="E1001:G1001"/>
    <mergeCell ref="F961:G961"/>
    <mergeCell ref="F998:G998"/>
    <mergeCell ref="F924:G924"/>
    <mergeCell ref="H3:H4"/>
    <mergeCell ref="A2:A4"/>
    <mergeCell ref="A39:A41"/>
    <mergeCell ref="A76:A78"/>
    <mergeCell ref="A5:A36"/>
    <mergeCell ref="B2:D2"/>
    <mergeCell ref="C3:D3"/>
    <mergeCell ref="C4:D4"/>
    <mergeCell ref="A42:A73"/>
    <mergeCell ref="B39:D39"/>
    <mergeCell ref="E39:G39"/>
    <mergeCell ref="B76:D76"/>
    <mergeCell ref="E76:G76"/>
    <mergeCell ref="C40:D40"/>
    <mergeCell ref="F36:G36"/>
    <mergeCell ref="F73:G73"/>
    <mergeCell ref="H40:H41"/>
    <mergeCell ref="H77:H78"/>
    <mergeCell ref="C41:D41"/>
    <mergeCell ref="C77:D77"/>
    <mergeCell ref="C78:D78"/>
    <mergeCell ref="A113:A115"/>
    <mergeCell ref="A150:A152"/>
    <mergeCell ref="A79:A110"/>
    <mergeCell ref="A116:A147"/>
    <mergeCell ref="A153:A184"/>
    <mergeCell ref="A190:A221"/>
    <mergeCell ref="A227:A258"/>
    <mergeCell ref="A264:A295"/>
    <mergeCell ref="A301:A332"/>
    <mergeCell ref="A705:A707"/>
    <mergeCell ref="A372:A374"/>
    <mergeCell ref="A409:A411"/>
    <mergeCell ref="A446:A448"/>
    <mergeCell ref="A483:A485"/>
    <mergeCell ref="A520:A522"/>
    <mergeCell ref="A187:A189"/>
    <mergeCell ref="A224:A226"/>
    <mergeCell ref="B557:D557"/>
    <mergeCell ref="B594:D594"/>
    <mergeCell ref="C559:D559"/>
    <mergeCell ref="A261:A263"/>
    <mergeCell ref="A298:A300"/>
    <mergeCell ref="A335:A337"/>
    <mergeCell ref="C188:D188"/>
    <mergeCell ref="C189:D189"/>
    <mergeCell ref="C225:D225"/>
    <mergeCell ref="C226:D226"/>
    <mergeCell ref="B446:D446"/>
    <mergeCell ref="B631:D631"/>
    <mergeCell ref="C447:D447"/>
    <mergeCell ref="C262:D262"/>
    <mergeCell ref="C263:D263"/>
    <mergeCell ref="C299:D299"/>
    <mergeCell ref="C114:D114"/>
    <mergeCell ref="C115:D115"/>
    <mergeCell ref="B409:D409"/>
    <mergeCell ref="C151:D151"/>
    <mergeCell ref="C152:D152"/>
    <mergeCell ref="B113:D113"/>
    <mergeCell ref="C373:D373"/>
    <mergeCell ref="C374:D374"/>
    <mergeCell ref="C410:D410"/>
    <mergeCell ref="B150:D150"/>
    <mergeCell ref="B224:D224"/>
    <mergeCell ref="B187:D187"/>
    <mergeCell ref="B261:D261"/>
    <mergeCell ref="B298:D298"/>
    <mergeCell ref="H114:H115"/>
    <mergeCell ref="H151:H152"/>
    <mergeCell ref="H188:H189"/>
    <mergeCell ref="H225:H226"/>
    <mergeCell ref="H262:H263"/>
    <mergeCell ref="H299:H300"/>
    <mergeCell ref="H336:H337"/>
    <mergeCell ref="H373:H374"/>
    <mergeCell ref="H410:H411"/>
    <mergeCell ref="H447:H448"/>
    <mergeCell ref="H484:H485"/>
    <mergeCell ref="H521:H522"/>
    <mergeCell ref="C891:D891"/>
    <mergeCell ref="C892:D892"/>
    <mergeCell ref="C928:D928"/>
    <mergeCell ref="C929:D929"/>
    <mergeCell ref="C965:D965"/>
    <mergeCell ref="C781:D781"/>
    <mergeCell ref="C817:D817"/>
    <mergeCell ref="C818:D818"/>
    <mergeCell ref="C854:D854"/>
    <mergeCell ref="C855:D855"/>
    <mergeCell ref="C595:D595"/>
    <mergeCell ref="C596:D596"/>
    <mergeCell ref="C632:D632"/>
    <mergeCell ref="C633:D633"/>
    <mergeCell ref="C669:D669"/>
    <mergeCell ref="C484:D484"/>
    <mergeCell ref="C485:D485"/>
    <mergeCell ref="C521:D521"/>
    <mergeCell ref="C522:D522"/>
    <mergeCell ref="C558:D558"/>
    <mergeCell ref="B705:D705"/>
    <mergeCell ref="H1076:H1077"/>
    <mergeCell ref="H743:H744"/>
    <mergeCell ref="H780:H781"/>
    <mergeCell ref="H817:H818"/>
    <mergeCell ref="H854:H855"/>
    <mergeCell ref="H891:H892"/>
    <mergeCell ref="H558:H559"/>
    <mergeCell ref="H595:H596"/>
    <mergeCell ref="H632:H633"/>
    <mergeCell ref="H669:H670"/>
    <mergeCell ref="H706:H707"/>
    <mergeCell ref="H928:H929"/>
    <mergeCell ref="H965:H966"/>
    <mergeCell ref="H1002:H1003"/>
    <mergeCell ref="H1039:H1040"/>
    <mergeCell ref="A523:A554"/>
    <mergeCell ref="A560:A591"/>
    <mergeCell ref="A597:A628"/>
    <mergeCell ref="A634:A665"/>
    <mergeCell ref="A671:A702"/>
    <mergeCell ref="A338:A369"/>
    <mergeCell ref="A375:A406"/>
    <mergeCell ref="A412:A443"/>
    <mergeCell ref="A449:A480"/>
    <mergeCell ref="A486:A517"/>
    <mergeCell ref="A557:A559"/>
    <mergeCell ref="A594:A596"/>
    <mergeCell ref="A631:A633"/>
    <mergeCell ref="A668:A670"/>
    <mergeCell ref="A1078:A1109"/>
    <mergeCell ref="A893:A924"/>
    <mergeCell ref="A930:A961"/>
    <mergeCell ref="A967:A998"/>
    <mergeCell ref="A1004:A1035"/>
    <mergeCell ref="A1041:A1072"/>
    <mergeCell ref="A708:A739"/>
    <mergeCell ref="A745:A776"/>
    <mergeCell ref="A782:A813"/>
    <mergeCell ref="A819:A850"/>
    <mergeCell ref="A856:A887"/>
    <mergeCell ref="A1001:A1003"/>
    <mergeCell ref="A1038:A1040"/>
    <mergeCell ref="A1075:A1077"/>
    <mergeCell ref="A927:A929"/>
    <mergeCell ref="A964:A966"/>
    <mergeCell ref="A742:A744"/>
    <mergeCell ref="A779:A781"/>
    <mergeCell ref="A816:A818"/>
    <mergeCell ref="A853:A855"/>
    <mergeCell ref="A890:A892"/>
  </mergeCells>
  <printOptions horizontalCentered="1" verticalCentered="1"/>
  <pageMargins left="0.25" right="0.25" top="0.75" bottom="0.75" header="0.3" footer="0.3"/>
  <pageSetup paperSize="9" scale="98" orientation="portrait" r:id="rId1"/>
  <rowBreaks count="29" manualBreakCount="29">
    <brk id="36" max="16383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  <brk id="370" max="8" man="1"/>
    <brk id="407" max="8" man="1"/>
    <brk id="444" max="8" man="1"/>
    <brk id="481" max="8" man="1"/>
    <brk id="518" max="8" man="1"/>
    <brk id="555" max="8" man="1"/>
    <brk id="592" max="8" man="1"/>
    <brk id="629" max="8" man="1"/>
    <brk id="666" max="8" man="1"/>
    <brk id="703" max="8" man="1"/>
    <brk id="740" max="8" man="1"/>
    <brk id="777" max="8" man="1"/>
    <brk id="814" max="8" man="1"/>
    <brk id="851" max="8" man="1"/>
    <brk id="888" max="8" man="1"/>
    <brk id="925" max="8" man="1"/>
    <brk id="962" max="8" man="1"/>
    <brk id="999" max="8" man="1"/>
    <brk id="1036" max="8" man="1"/>
    <brk id="1073" max="8" man="1"/>
  </rowBreaks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6"/>
  <sheetViews>
    <sheetView workbookViewId="0">
      <selection activeCell="B6" sqref="B6"/>
    </sheetView>
  </sheetViews>
  <sheetFormatPr defaultColWidth="8.73046875" defaultRowHeight="14.25"/>
  <cols>
    <col min="1" max="3" width="8.73046875" style="6"/>
    <col min="4" max="4" width="10.1328125" style="6" bestFit="1" customWidth="1"/>
    <col min="5" max="5" width="10.86328125" style="6" bestFit="1" customWidth="1"/>
    <col min="6" max="9" width="8.73046875" style="6"/>
    <col min="10" max="10" width="10.1328125" style="6" bestFit="1" customWidth="1"/>
    <col min="11" max="16384" width="8.73046875" style="6"/>
  </cols>
  <sheetData>
    <row r="1" spans="1:10">
      <c r="A1" s="54" t="s">
        <v>74</v>
      </c>
      <c r="B1" s="55"/>
      <c r="C1" s="55"/>
      <c r="D1" s="55"/>
      <c r="E1" s="56"/>
    </row>
    <row r="2" spans="1:10" ht="14.65" thickBot="1">
      <c r="A2" s="57"/>
      <c r="B2" s="58"/>
      <c r="C2" s="58"/>
      <c r="D2" s="58"/>
      <c r="E2" s="59"/>
    </row>
    <row r="3" spans="1:10" ht="15.6" customHeight="1" thickBot="1">
      <c r="A3" s="60"/>
      <c r="B3" s="61"/>
      <c r="C3" s="61"/>
      <c r="D3" s="61"/>
      <c r="E3" s="62"/>
      <c r="G3" s="54" t="s">
        <v>75</v>
      </c>
      <c r="H3" s="55"/>
      <c r="I3" s="55"/>
      <c r="J3" s="56"/>
    </row>
    <row r="4" spans="1:10" ht="14.65" thickBot="1">
      <c r="D4" s="17"/>
      <c r="G4" s="60"/>
      <c r="H4" s="61"/>
      <c r="I4" s="61"/>
      <c r="J4" s="62"/>
    </row>
    <row r="5" spans="1:10" ht="14.65" thickBot="1">
      <c r="A5" s="1" t="s">
        <v>76</v>
      </c>
      <c r="B5" s="1" t="s">
        <v>0</v>
      </c>
      <c r="C5" s="1" t="s">
        <v>1</v>
      </c>
      <c r="D5" s="1" t="s">
        <v>2</v>
      </c>
      <c r="E5" s="1" t="s">
        <v>77</v>
      </c>
      <c r="G5" s="63" t="s">
        <v>78</v>
      </c>
      <c r="H5" s="64"/>
      <c r="I5" s="65"/>
      <c r="J5" s="3" t="s">
        <v>79</v>
      </c>
    </row>
    <row r="6" spans="1:10" ht="14.65" thickBot="1">
      <c r="A6" s="1">
        <v>1</v>
      </c>
      <c r="B6" s="4" t="s">
        <v>80</v>
      </c>
      <c r="C6" s="4">
        <v>6</v>
      </c>
      <c r="D6" s="4" t="s">
        <v>15</v>
      </c>
      <c r="E6" s="4">
        <v>9300</v>
      </c>
      <c r="G6" s="66" t="s">
        <v>81</v>
      </c>
      <c r="H6" s="67"/>
      <c r="I6" s="68"/>
      <c r="J6" s="18">
        <v>43698</v>
      </c>
    </row>
    <row r="7" spans="1:10" ht="14.65" thickBot="1">
      <c r="A7" s="1">
        <v>2</v>
      </c>
      <c r="B7" s="4" t="s">
        <v>80</v>
      </c>
      <c r="C7" s="4">
        <v>16</v>
      </c>
      <c r="D7" s="4" t="s">
        <v>25</v>
      </c>
      <c r="E7" s="4">
        <v>9300</v>
      </c>
      <c r="G7" s="66" t="s">
        <v>82</v>
      </c>
      <c r="H7" s="67"/>
      <c r="I7" s="68"/>
      <c r="J7" s="19">
        <v>5</v>
      </c>
    </row>
    <row r="8" spans="1:10" ht="14.65" thickBot="1">
      <c r="A8" s="1">
        <v>3</v>
      </c>
      <c r="B8" s="4" t="s">
        <v>80</v>
      </c>
      <c r="C8" s="4">
        <v>28</v>
      </c>
      <c r="D8" s="4" t="s">
        <v>16</v>
      </c>
      <c r="E8" s="4">
        <v>9300</v>
      </c>
      <c r="G8" s="66" t="s">
        <v>83</v>
      </c>
      <c r="H8" s="67"/>
      <c r="I8" s="68"/>
      <c r="J8" s="20">
        <f>IFERROR(IF(J6="","", J6+J7), "")</f>
        <v>43703</v>
      </c>
    </row>
    <row r="9" spans="1:10" ht="14.65" thickBot="1">
      <c r="A9" s="1">
        <v>4</v>
      </c>
      <c r="B9" s="4" t="s">
        <v>80</v>
      </c>
      <c r="C9" s="4">
        <v>42</v>
      </c>
      <c r="D9" s="4" t="s">
        <v>30</v>
      </c>
      <c r="E9" s="4">
        <v>9300</v>
      </c>
    </row>
    <row r="10" spans="1:10" ht="14.65" thickBot="1">
      <c r="A10" s="1">
        <v>5</v>
      </c>
      <c r="B10" s="4" t="s">
        <v>80</v>
      </c>
      <c r="C10" s="4">
        <v>59</v>
      </c>
      <c r="D10" s="4" t="s">
        <v>14</v>
      </c>
      <c r="E10" s="4">
        <v>9300</v>
      </c>
    </row>
    <row r="11" spans="1:10" ht="14.65" thickBot="1">
      <c r="A11" s="1">
        <v>6</v>
      </c>
      <c r="B11" s="4" t="s">
        <v>80</v>
      </c>
      <c r="C11" s="4">
        <v>5</v>
      </c>
      <c r="D11" s="4" t="s">
        <v>14</v>
      </c>
      <c r="E11" s="4">
        <v>8300</v>
      </c>
    </row>
    <row r="12" spans="1:10" ht="14.65" thickBot="1">
      <c r="A12" s="1">
        <v>7</v>
      </c>
      <c r="B12" s="4" t="s">
        <v>80</v>
      </c>
      <c r="C12" s="4">
        <v>15</v>
      </c>
      <c r="D12" s="4" t="s">
        <v>24</v>
      </c>
      <c r="E12" s="4">
        <v>8300</v>
      </c>
    </row>
    <row r="13" spans="1:10" ht="14.65" thickBot="1">
      <c r="A13" s="1">
        <v>8</v>
      </c>
      <c r="B13" s="4" t="s">
        <v>80</v>
      </c>
      <c r="C13" s="4">
        <v>27</v>
      </c>
      <c r="D13" s="4" t="s">
        <v>15</v>
      </c>
      <c r="E13" s="4">
        <v>8300</v>
      </c>
    </row>
    <row r="14" spans="1:10" ht="14.65" thickBot="1">
      <c r="A14" s="1">
        <v>9</v>
      </c>
      <c r="B14" s="4" t="s">
        <v>80</v>
      </c>
      <c r="C14" s="4">
        <v>41</v>
      </c>
      <c r="D14" s="4" t="s">
        <v>29</v>
      </c>
      <c r="E14" s="4">
        <v>8300</v>
      </c>
    </row>
    <row r="15" spans="1:10" ht="14.65" thickBot="1">
      <c r="A15" s="1">
        <v>10</v>
      </c>
      <c r="B15" s="4" t="s">
        <v>80</v>
      </c>
      <c r="C15" s="4">
        <v>58</v>
      </c>
      <c r="D15" s="4" t="s">
        <v>13</v>
      </c>
      <c r="E15" s="4">
        <v>8300</v>
      </c>
    </row>
    <row r="16" spans="1:10" ht="14.65" thickBot="1">
      <c r="A16" s="1">
        <v>11</v>
      </c>
      <c r="B16" s="4" t="s">
        <v>80</v>
      </c>
      <c r="C16" s="4">
        <v>4</v>
      </c>
      <c r="D16" s="4" t="s">
        <v>13</v>
      </c>
      <c r="E16" s="4">
        <v>6300</v>
      </c>
    </row>
    <row r="17" spans="1:5" ht="14.65" thickBot="1">
      <c r="A17" s="1">
        <v>12</v>
      </c>
      <c r="B17" s="4" t="s">
        <v>80</v>
      </c>
      <c r="C17" s="4">
        <v>14</v>
      </c>
      <c r="D17" s="4" t="s">
        <v>23</v>
      </c>
      <c r="E17" s="4">
        <v>6300</v>
      </c>
    </row>
    <row r="18" spans="1:5" ht="14.65" thickBot="1">
      <c r="A18" s="1">
        <v>13</v>
      </c>
      <c r="B18" s="4" t="s">
        <v>80</v>
      </c>
      <c r="C18" s="4">
        <v>26</v>
      </c>
      <c r="D18" s="4" t="s">
        <v>14</v>
      </c>
      <c r="E18" s="4">
        <v>6300</v>
      </c>
    </row>
    <row r="19" spans="1:5" ht="14.65" thickBot="1">
      <c r="A19" s="1">
        <v>14</v>
      </c>
      <c r="B19" s="4" t="s">
        <v>80</v>
      </c>
      <c r="C19" s="4">
        <v>40</v>
      </c>
      <c r="D19" s="4" t="s">
        <v>28</v>
      </c>
      <c r="E19" s="4">
        <v>6300</v>
      </c>
    </row>
    <row r="20" spans="1:5" ht="14.65" thickBot="1">
      <c r="A20" s="1">
        <v>15</v>
      </c>
      <c r="B20" s="4" t="s">
        <v>80</v>
      </c>
      <c r="C20" s="4">
        <v>57</v>
      </c>
      <c r="D20" s="4" t="s">
        <v>12</v>
      </c>
      <c r="E20" s="4">
        <v>6300</v>
      </c>
    </row>
    <row r="21" spans="1:5" ht="14.65" thickBot="1">
      <c r="A21" s="1">
        <v>16</v>
      </c>
      <c r="B21" s="4" t="s">
        <v>80</v>
      </c>
      <c r="C21" s="4">
        <v>37</v>
      </c>
      <c r="D21" s="4" t="s">
        <v>25</v>
      </c>
      <c r="E21" s="4">
        <v>4300</v>
      </c>
    </row>
    <row r="22" spans="1:5" ht="14.65" thickBot="1">
      <c r="A22" s="1">
        <v>17</v>
      </c>
      <c r="B22" s="4" t="s">
        <v>80</v>
      </c>
      <c r="C22" s="4">
        <v>3</v>
      </c>
      <c r="D22" s="4" t="s">
        <v>12</v>
      </c>
      <c r="E22" s="4">
        <v>3300</v>
      </c>
    </row>
    <row r="23" spans="1:5" ht="14.65" thickBot="1">
      <c r="A23" s="1">
        <v>18</v>
      </c>
      <c r="B23" s="4" t="s">
        <v>80</v>
      </c>
      <c r="C23" s="4">
        <v>13</v>
      </c>
      <c r="D23" s="4" t="s">
        <v>22</v>
      </c>
      <c r="E23" s="4">
        <v>3300</v>
      </c>
    </row>
    <row r="24" spans="1:5" ht="14.65" thickBot="1">
      <c r="A24" s="1">
        <v>19</v>
      </c>
      <c r="B24" s="4" t="s">
        <v>80</v>
      </c>
      <c r="C24" s="4">
        <v>25</v>
      </c>
      <c r="D24" s="4" t="s">
        <v>13</v>
      </c>
      <c r="E24" s="4">
        <v>3300</v>
      </c>
    </row>
    <row r="25" spans="1:5" ht="14.65" thickBot="1">
      <c r="A25" s="1">
        <v>20</v>
      </c>
      <c r="B25" s="4" t="s">
        <v>80</v>
      </c>
      <c r="C25" s="4">
        <v>39</v>
      </c>
      <c r="D25" s="4" t="s">
        <v>27</v>
      </c>
      <c r="E25" s="4">
        <v>3300</v>
      </c>
    </row>
    <row r="26" spans="1:5" ht="14.65" thickBot="1">
      <c r="A26" s="1">
        <v>21</v>
      </c>
      <c r="B26" s="4" t="s">
        <v>80</v>
      </c>
      <c r="C26" s="4">
        <v>56</v>
      </c>
      <c r="D26" s="4" t="s">
        <v>11</v>
      </c>
      <c r="E26" s="4">
        <v>3300</v>
      </c>
    </row>
    <row r="27" spans="1:5" ht="14.65" thickBot="1">
      <c r="A27" s="1">
        <v>22</v>
      </c>
      <c r="B27" s="4" t="s">
        <v>80</v>
      </c>
      <c r="C27" s="4">
        <v>29</v>
      </c>
      <c r="D27" s="4" t="s">
        <v>17</v>
      </c>
      <c r="E27" s="4">
        <v>3000</v>
      </c>
    </row>
    <row r="28" spans="1:5" ht="14.65" thickBot="1">
      <c r="A28" s="1">
        <v>23</v>
      </c>
      <c r="B28" s="4" t="s">
        <v>80</v>
      </c>
      <c r="C28" s="4">
        <v>34</v>
      </c>
      <c r="D28" s="4" t="s">
        <v>22</v>
      </c>
      <c r="E28" s="4">
        <v>3000</v>
      </c>
    </row>
    <row r="29" spans="1:5" ht="14.65" thickBot="1">
      <c r="A29" s="1">
        <v>24</v>
      </c>
      <c r="B29" s="4" t="s">
        <v>80</v>
      </c>
      <c r="C29" s="4">
        <v>2</v>
      </c>
      <c r="D29" s="4" t="s">
        <v>11</v>
      </c>
      <c r="E29" s="4">
        <v>2000</v>
      </c>
    </row>
    <row r="30" spans="1:5" ht="14.65" thickBot="1">
      <c r="A30" s="1">
        <v>25</v>
      </c>
      <c r="B30" s="4" t="s">
        <v>80</v>
      </c>
      <c r="C30" s="4">
        <v>12</v>
      </c>
      <c r="D30" s="4" t="s">
        <v>21</v>
      </c>
      <c r="E30" s="4">
        <v>2000</v>
      </c>
    </row>
    <row r="31" spans="1:5" ht="14.65" thickBot="1">
      <c r="A31" s="1">
        <v>26</v>
      </c>
      <c r="B31" s="4" t="s">
        <v>80</v>
      </c>
      <c r="C31" s="4">
        <v>24</v>
      </c>
      <c r="D31" s="4" t="s">
        <v>12</v>
      </c>
      <c r="E31" s="4">
        <v>2000</v>
      </c>
    </row>
    <row r="32" spans="1:5" ht="14.65" thickBot="1">
      <c r="A32" s="1">
        <v>27</v>
      </c>
      <c r="B32" s="4" t="s">
        <v>80</v>
      </c>
      <c r="C32" s="4">
        <v>38</v>
      </c>
      <c r="D32" s="4" t="s">
        <v>26</v>
      </c>
      <c r="E32" s="4">
        <v>2000</v>
      </c>
    </row>
    <row r="33" spans="1:5" ht="14.65" thickBot="1">
      <c r="A33" s="1">
        <v>28</v>
      </c>
      <c r="B33" s="4" t="s">
        <v>80</v>
      </c>
      <c r="C33" s="4">
        <v>55</v>
      </c>
      <c r="D33" s="4" t="s">
        <v>10</v>
      </c>
      <c r="E33" s="4">
        <v>2000</v>
      </c>
    </row>
    <row r="34" spans="1:5" ht="14.65" thickBot="1">
      <c r="A34" s="1">
        <v>29</v>
      </c>
      <c r="B34" s="4" t="s">
        <v>80</v>
      </c>
      <c r="C34" s="4">
        <v>1</v>
      </c>
      <c r="D34" s="4" t="s">
        <v>10</v>
      </c>
      <c r="E34" s="4">
        <v>0</v>
      </c>
    </row>
    <row r="35" spans="1:5" ht="14.65" thickBot="1">
      <c r="A35" s="1">
        <v>30</v>
      </c>
      <c r="B35" s="4" t="s">
        <v>80</v>
      </c>
      <c r="C35" s="4">
        <v>7</v>
      </c>
      <c r="D35" s="4" t="s">
        <v>16</v>
      </c>
      <c r="E35" s="4">
        <v>0</v>
      </c>
    </row>
    <row r="36" spans="1:5" ht="14.65" thickBot="1">
      <c r="A36" s="1">
        <v>31</v>
      </c>
      <c r="B36" s="4" t="s">
        <v>80</v>
      </c>
      <c r="C36" s="4">
        <v>8</v>
      </c>
      <c r="D36" s="4" t="s">
        <v>17</v>
      </c>
      <c r="E36" s="4">
        <v>0</v>
      </c>
    </row>
    <row r="37" spans="1:5" ht="14.65" thickBot="1">
      <c r="A37" s="1">
        <v>32</v>
      </c>
      <c r="B37" s="4" t="s">
        <v>80</v>
      </c>
      <c r="C37" s="4">
        <v>9</v>
      </c>
      <c r="D37" s="4" t="s">
        <v>18</v>
      </c>
      <c r="E37" s="4">
        <v>0</v>
      </c>
    </row>
    <row r="38" spans="1:5" ht="14.65" thickBot="1">
      <c r="A38" s="1">
        <v>33</v>
      </c>
      <c r="B38" s="4" t="s">
        <v>80</v>
      </c>
      <c r="C38" s="4">
        <v>10</v>
      </c>
      <c r="D38" s="4" t="s">
        <v>19</v>
      </c>
      <c r="E38" s="4">
        <v>0</v>
      </c>
    </row>
    <row r="39" spans="1:5" ht="14.65" thickBot="1">
      <c r="A39" s="1">
        <v>34</v>
      </c>
      <c r="B39" s="4" t="s">
        <v>80</v>
      </c>
      <c r="C39" s="4">
        <v>11</v>
      </c>
      <c r="D39" s="4" t="s">
        <v>20</v>
      </c>
      <c r="E39" s="4">
        <v>0</v>
      </c>
    </row>
    <row r="40" spans="1:5" ht="14.65" thickBot="1">
      <c r="A40" s="1">
        <v>35</v>
      </c>
      <c r="B40" s="4" t="s">
        <v>80</v>
      </c>
      <c r="C40" s="4">
        <v>17</v>
      </c>
      <c r="D40" s="4" t="s">
        <v>26</v>
      </c>
      <c r="E40" s="4">
        <v>0</v>
      </c>
    </row>
    <row r="41" spans="1:5" ht="14.65" thickBot="1">
      <c r="A41" s="1">
        <v>36</v>
      </c>
      <c r="B41" s="4" t="s">
        <v>80</v>
      </c>
      <c r="C41" s="4">
        <v>18</v>
      </c>
      <c r="D41" s="4" t="s">
        <v>27</v>
      </c>
      <c r="E41" s="4">
        <v>0</v>
      </c>
    </row>
    <row r="42" spans="1:5" ht="14.65" thickBot="1">
      <c r="A42" s="1">
        <v>37</v>
      </c>
      <c r="B42" s="4" t="s">
        <v>80</v>
      </c>
      <c r="C42" s="4">
        <v>19</v>
      </c>
      <c r="D42" s="4" t="s">
        <v>28</v>
      </c>
      <c r="E42" s="4">
        <v>0</v>
      </c>
    </row>
    <row r="43" spans="1:5" ht="14.65" thickBot="1">
      <c r="A43" s="1">
        <v>38</v>
      </c>
      <c r="B43" s="4" t="s">
        <v>80</v>
      </c>
      <c r="C43" s="4">
        <v>20</v>
      </c>
      <c r="D43" s="4" t="s">
        <v>29</v>
      </c>
      <c r="E43" s="4">
        <v>0</v>
      </c>
    </row>
    <row r="44" spans="1:5" ht="14.65" thickBot="1">
      <c r="A44" s="1">
        <v>39</v>
      </c>
      <c r="B44" s="4" t="s">
        <v>80</v>
      </c>
      <c r="C44" s="4">
        <v>21</v>
      </c>
      <c r="D44" s="4" t="s">
        <v>30</v>
      </c>
      <c r="E44" s="4">
        <v>0</v>
      </c>
    </row>
    <row r="45" spans="1:5" ht="14.65" thickBot="1">
      <c r="A45" s="1">
        <v>40</v>
      </c>
      <c r="B45" s="4" t="s">
        <v>80</v>
      </c>
      <c r="C45" s="4">
        <v>22</v>
      </c>
      <c r="D45" s="4" t="s">
        <v>10</v>
      </c>
      <c r="E45" s="4">
        <v>0</v>
      </c>
    </row>
    <row r="46" spans="1:5" ht="14.65" thickBot="1">
      <c r="A46" s="1">
        <v>41</v>
      </c>
      <c r="B46" s="4" t="s">
        <v>80</v>
      </c>
      <c r="C46" s="4">
        <v>23</v>
      </c>
      <c r="D46" s="4" t="s">
        <v>11</v>
      </c>
      <c r="E46" s="4">
        <v>0</v>
      </c>
    </row>
    <row r="47" spans="1:5" ht="14.65" thickBot="1">
      <c r="A47" s="1">
        <v>42</v>
      </c>
      <c r="B47" s="4" t="s">
        <v>80</v>
      </c>
      <c r="C47" s="4">
        <v>30</v>
      </c>
      <c r="D47" s="4" t="s">
        <v>18</v>
      </c>
      <c r="E47" s="4">
        <v>0</v>
      </c>
    </row>
    <row r="48" spans="1:5" ht="14.65" thickBot="1">
      <c r="A48" s="1">
        <v>43</v>
      </c>
      <c r="B48" s="4" t="s">
        <v>80</v>
      </c>
      <c r="C48" s="4">
        <v>31</v>
      </c>
      <c r="D48" s="4" t="s">
        <v>19</v>
      </c>
      <c r="E48" s="4">
        <v>0</v>
      </c>
    </row>
    <row r="49" spans="1:5" ht="14.65" thickBot="1">
      <c r="A49" s="1">
        <v>44</v>
      </c>
      <c r="B49" s="4" t="s">
        <v>80</v>
      </c>
      <c r="C49" s="4">
        <v>32</v>
      </c>
      <c r="D49" s="4" t="s">
        <v>20</v>
      </c>
      <c r="E49" s="4">
        <v>0</v>
      </c>
    </row>
    <row r="50" spans="1:5" ht="14.65" thickBot="1">
      <c r="A50" s="1">
        <v>45</v>
      </c>
      <c r="B50" s="4" t="s">
        <v>80</v>
      </c>
      <c r="C50" s="4">
        <v>33</v>
      </c>
      <c r="D50" s="4" t="s">
        <v>21</v>
      </c>
      <c r="E50" s="4">
        <v>0</v>
      </c>
    </row>
    <row r="51" spans="1:5" ht="14.65" thickBot="1">
      <c r="A51" s="1">
        <v>46</v>
      </c>
      <c r="B51" s="4" t="s">
        <v>80</v>
      </c>
      <c r="C51" s="4">
        <v>35</v>
      </c>
      <c r="D51" s="4" t="s">
        <v>23</v>
      </c>
      <c r="E51" s="4">
        <v>0</v>
      </c>
    </row>
    <row r="52" spans="1:5" ht="14.65" thickBot="1">
      <c r="A52" s="1">
        <v>47</v>
      </c>
      <c r="B52" s="4" t="s">
        <v>80</v>
      </c>
      <c r="C52" s="4">
        <v>36</v>
      </c>
      <c r="D52" s="4" t="s">
        <v>24</v>
      </c>
      <c r="E52" s="4">
        <v>0</v>
      </c>
    </row>
    <row r="53" spans="1:5" ht="14.65" thickBot="1">
      <c r="A53" s="1">
        <v>48</v>
      </c>
      <c r="B53" s="4" t="s">
        <v>80</v>
      </c>
      <c r="C53" s="4">
        <v>43</v>
      </c>
      <c r="D53" s="4" t="s">
        <v>10</v>
      </c>
      <c r="E53" s="4">
        <v>0</v>
      </c>
    </row>
    <row r="54" spans="1:5" ht="14.65" thickBot="1">
      <c r="A54" s="1">
        <v>49</v>
      </c>
      <c r="B54" s="4" t="s">
        <v>80</v>
      </c>
      <c r="C54" s="4">
        <v>44</v>
      </c>
      <c r="D54" s="4" t="s">
        <v>11</v>
      </c>
      <c r="E54" s="4">
        <v>0</v>
      </c>
    </row>
    <row r="55" spans="1:5" ht="14.65" thickBot="1">
      <c r="A55" s="1">
        <v>50</v>
      </c>
      <c r="B55" s="4" t="s">
        <v>80</v>
      </c>
      <c r="C55" s="4">
        <v>45</v>
      </c>
      <c r="D55" s="4" t="s">
        <v>12</v>
      </c>
      <c r="E55" s="4">
        <v>0</v>
      </c>
    </row>
    <row r="56" spans="1:5" ht="14.65" thickBot="1">
      <c r="A56" s="1">
        <v>51</v>
      </c>
      <c r="B56" s="4" t="s">
        <v>80</v>
      </c>
      <c r="C56" s="4">
        <v>46</v>
      </c>
      <c r="D56" s="4" t="s">
        <v>13</v>
      </c>
      <c r="E56" s="4">
        <v>0</v>
      </c>
    </row>
    <row r="57" spans="1:5" ht="14.65" thickBot="1">
      <c r="A57" s="1">
        <v>52</v>
      </c>
      <c r="B57" s="4" t="s">
        <v>80</v>
      </c>
      <c r="C57" s="4">
        <v>47</v>
      </c>
      <c r="D57" s="4" t="s">
        <v>14</v>
      </c>
      <c r="E57" s="4">
        <v>0</v>
      </c>
    </row>
    <row r="58" spans="1:5" ht="14.65" thickBot="1">
      <c r="A58" s="1">
        <v>53</v>
      </c>
      <c r="B58" s="4" t="s">
        <v>80</v>
      </c>
      <c r="C58" s="4">
        <v>48</v>
      </c>
      <c r="D58" s="4" t="s">
        <v>15</v>
      </c>
      <c r="E58" s="4">
        <v>0</v>
      </c>
    </row>
    <row r="59" spans="1:5" ht="14.65" thickBot="1">
      <c r="A59" s="1">
        <v>54</v>
      </c>
      <c r="B59" s="4" t="s">
        <v>80</v>
      </c>
      <c r="C59" s="4">
        <v>49</v>
      </c>
      <c r="D59" s="4" t="s">
        <v>16</v>
      </c>
      <c r="E59" s="4">
        <v>0</v>
      </c>
    </row>
    <row r="60" spans="1:5" ht="14.65" thickBot="1">
      <c r="A60" s="1">
        <v>55</v>
      </c>
      <c r="B60" s="4" t="s">
        <v>80</v>
      </c>
      <c r="C60" s="4">
        <v>50</v>
      </c>
      <c r="D60" s="4" t="s">
        <v>17</v>
      </c>
      <c r="E60" s="4">
        <v>0</v>
      </c>
    </row>
    <row r="61" spans="1:5" ht="14.65" thickBot="1">
      <c r="A61" s="1">
        <v>56</v>
      </c>
      <c r="B61" s="4" t="s">
        <v>80</v>
      </c>
      <c r="C61" s="4">
        <v>51</v>
      </c>
      <c r="D61" s="4" t="s">
        <v>18</v>
      </c>
      <c r="E61" s="4">
        <v>0</v>
      </c>
    </row>
    <row r="62" spans="1:5" ht="14.65" thickBot="1">
      <c r="A62" s="1">
        <v>57</v>
      </c>
      <c r="B62" s="4" t="s">
        <v>80</v>
      </c>
      <c r="C62" s="4">
        <v>52</v>
      </c>
      <c r="D62" s="4" t="s">
        <v>19</v>
      </c>
      <c r="E62" s="4">
        <v>0</v>
      </c>
    </row>
    <row r="63" spans="1:5" ht="14.65" thickBot="1">
      <c r="A63" s="1">
        <v>58</v>
      </c>
      <c r="B63" s="4" t="s">
        <v>80</v>
      </c>
      <c r="C63" s="4">
        <v>53</v>
      </c>
      <c r="D63" s="4" t="s">
        <v>20</v>
      </c>
      <c r="E63" s="4">
        <v>0</v>
      </c>
    </row>
    <row r="64" spans="1:5" ht="14.65" thickBot="1">
      <c r="A64" s="1">
        <v>59</v>
      </c>
      <c r="B64" s="4" t="s">
        <v>80</v>
      </c>
      <c r="C64" s="4">
        <v>54</v>
      </c>
      <c r="D64" s="4" t="s">
        <v>21</v>
      </c>
      <c r="E64" s="4">
        <v>0</v>
      </c>
    </row>
    <row r="65" spans="1:5" ht="14.65" thickBot="1">
      <c r="A65" s="16">
        <v>60</v>
      </c>
      <c r="B65" s="4" t="s">
        <v>80</v>
      </c>
      <c r="C65" s="4">
        <v>60</v>
      </c>
      <c r="D65" s="4" t="s">
        <v>15</v>
      </c>
      <c r="E65" s="4">
        <v>0</v>
      </c>
    </row>
    <row r="66" spans="1:5" ht="14.65" thickBot="1">
      <c r="A66" s="51" t="s">
        <v>84</v>
      </c>
      <c r="B66" s="52"/>
      <c r="C66" s="52"/>
      <c r="D66" s="53"/>
      <c r="E66" s="1">
        <v>152000</v>
      </c>
    </row>
  </sheetData>
  <mergeCells count="7">
    <mergeCell ref="A66:D66"/>
    <mergeCell ref="A1:E3"/>
    <mergeCell ref="G3:J4"/>
    <mergeCell ref="G5:I5"/>
    <mergeCell ref="G6:I6"/>
    <mergeCell ref="G7:I7"/>
    <mergeCell ref="G8:I8"/>
  </mergeCells>
  <conditionalFormatting sqref="E5:E65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Navigation and Summary</vt:lpstr>
      <vt:lpstr>Fee Receipt (Class-wise)</vt:lpstr>
      <vt:lpstr>Fee Pending (Class-wise)</vt:lpstr>
      <vt:lpstr>Printing Slot</vt:lpstr>
      <vt:lpstr>'Fee Pending (Class-wise)'!Print_Area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Tabinda</dc:creator>
  <cp:lastModifiedBy>Daniel Kuatsro</cp:lastModifiedBy>
  <cp:lastPrinted>2026-06-10T06:24:53Z</cp:lastPrinted>
  <dcterms:created xsi:type="dcterms:W3CDTF">2019-07-13T02:05:45Z</dcterms:created>
  <dcterms:modified xsi:type="dcterms:W3CDTF">2026-06-20T08:31:47Z</dcterms:modified>
</cp:coreProperties>
</file>